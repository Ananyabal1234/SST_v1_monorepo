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wnership" sheetId="2" state="visible" r:id="rId2"/>
    <sheet name="Sprint Backlog" sheetId="3" state="visible" r:id="rId3"/>
    <sheet name="By Sprint" sheetId="4" state="visible" r:id="rId4"/>
    <sheet name="By Person" sheetId="5" state="visible" r:id="rId5"/>
    <sheet name="Handoffs" sheetId="6" state="visible" r:id="rId6"/>
    <sheet name="Manager Demo" sheetId="7" state="visible" r:id="rId7"/>
    <sheet name="Lookup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2A6F7A"/>
      <sz val="10"/>
    </font>
    <font>
      <name val="Calibri"/>
      <b val="1"/>
      <color rgb="00FFFFFF"/>
      <sz val="9"/>
    </font>
    <font>
      <name val="Calibri"/>
      <b val="1"/>
      <color rgb="001B3A4B"/>
      <sz val="18"/>
    </font>
    <font>
      <name val="Calibri"/>
      <b val="1"/>
      <color rgb="00FFFFFF"/>
      <sz val="12"/>
    </font>
    <font>
      <name val="Calibri"/>
      <color rgb="004A5568"/>
      <sz val="10"/>
    </font>
    <font>
      <name val="Calibri"/>
      <b val="1"/>
      <color rgb="00FFFFFF"/>
      <sz val="10"/>
    </font>
    <font>
      <name val="Calibri"/>
      <color rgb="004A5568"/>
      <sz val="9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C45C26"/>
      <sz val="10"/>
    </font>
    <font>
      <name val="Calibri"/>
      <color rgb="001B3A4B"/>
      <sz val="10"/>
    </font>
    <font>
      <name val="Calibri"/>
      <b val="1"/>
      <color rgb="00FFFFFF"/>
      <sz val="14"/>
    </font>
    <font>
      <name val="Calibri"/>
      <color rgb="002A6F7A"/>
      <sz val="9"/>
    </font>
    <font>
      <name val="Calibri"/>
      <b val="1"/>
      <color rgb="001B3A4B"/>
      <sz val="11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EEF0"/>
      </patternFill>
    </fill>
    <fill>
      <patternFill patternType="solid">
        <fgColor rgb="002A6F7A"/>
      </patternFill>
    </fill>
    <fill>
      <patternFill patternType="solid">
        <fgColor rgb="00FFFFFF"/>
      </patternFill>
    </fill>
    <fill>
      <patternFill patternType="solid">
        <fgColor rgb="00F4F7F8"/>
      </patternFill>
    </fill>
    <fill>
      <patternFill patternType="solid">
        <fgColor rgb="00F8FBFC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medium">
        <color rgb="001B3A4B"/>
      </left>
      <right style="medium">
        <color rgb="001B3A4B"/>
      </right>
      <top style="medium">
        <color rgb="001B3A4B"/>
      </top>
      <bottom style="medium">
        <color rgb="001B3A4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9" fontId="4" fillId="5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6" fillId="6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5" fillId="4" borderId="0" pivotButton="0" quotePrefix="0" xfId="0"/>
    <xf numFmtId="0" fontId="7" fillId="2" borderId="1" applyAlignment="1" pivotButton="0" quotePrefix="0" xfId="0">
      <alignment horizontal="center" wrapText="1"/>
    </xf>
    <xf numFmtId="0" fontId="6" fillId="7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wrapText="1"/>
    </xf>
    <xf numFmtId="0" fontId="11" fillId="6" borderId="0" applyAlignment="1" pivotButton="0" quotePrefix="0" xfId="0">
      <alignment vertical="center" wrapText="1"/>
    </xf>
    <xf numFmtId="0" fontId="12" fillId="3" borderId="0" pivotButton="0" quotePrefix="0" xfId="0"/>
    <xf numFmtId="0" fontId="5" fillId="2" borderId="0" pivotButton="0" quotePrefix="0" xfId="0"/>
    <xf numFmtId="0" fontId="7" fillId="4" borderId="1" pivotButton="0" quotePrefix="0" xfId="0"/>
    <xf numFmtId="0" fontId="13" fillId="2" borderId="0" applyAlignment="1" pivotButton="0" quotePrefix="0" xfId="0">
      <alignment horizontal="left" vertical="center"/>
    </xf>
    <xf numFmtId="0" fontId="14" fillId="3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9" fontId="8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vertical="center"/>
    </xf>
    <xf numFmtId="0" fontId="7" fillId="4" borderId="1" applyAlignment="1" pivotButton="0" quotePrefix="0" xfId="0">
      <alignment horizontal="center" wrapText="1"/>
    </xf>
    <xf numFmtId="0" fontId="8" fillId="7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3" fillId="2" borderId="0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name val="Calibri"/>
        <b val="1"/>
        <color rgb="00FFFFFF"/>
        <sz val="9"/>
      </font>
      <fill>
        <patternFill patternType="solid">
          <fgColor rgb="001F7A4C"/>
        </patternFill>
      </fill>
    </dxf>
    <dxf>
      <font>
        <name val="Calibri"/>
        <b val="1"/>
        <color rgb="00FFFFFF"/>
        <sz val="9"/>
      </font>
      <fill>
        <patternFill patternType="solid">
          <fgColor rgb="002A6F7A"/>
        </patternFill>
      </fill>
    </dxf>
    <dxf>
      <font>
        <name val="Calibri"/>
        <b val="1"/>
        <color rgb="00FFFFFF"/>
        <sz val="9"/>
      </font>
      <fill>
        <patternFill patternType="solid">
          <fgColor rgb="00B33A3A"/>
        </patternFill>
      </fill>
    </dxf>
    <dxf>
      <font>
        <name val="Calibri"/>
        <b val="1"/>
        <color rgb="00FFFFFF"/>
        <sz val="9"/>
      </font>
      <fill>
        <patternFill patternType="solid">
          <fgColor rgb="00B7791F"/>
        </patternFill>
      </fill>
    </dxf>
    <dxf>
      <font>
        <name val="Calibri"/>
        <b val="1"/>
        <color rgb="00FFFFFF"/>
        <sz val="9"/>
      </font>
      <fill>
        <patternFill patternType="solid">
          <fgColor rgb="004A556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Steps vs Done by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'Dashboard'!M5</f>
            </strRef>
          </tx>
          <spPr>
            <a:ln>
              <a:prstDash val="solid"/>
            </a:ln>
          </spPr>
          <cat>
            <numRef>
              <f>'Dashboard'!$L$6:$L$13</f>
            </numRef>
          </cat>
          <val>
            <numRef>
              <f>'Dashboard'!$M$6:$M$13</f>
            </numRef>
          </val>
        </ser>
        <ser>
          <idx val="1"/>
          <order val="1"/>
          <tx>
            <strRef>
              <f>'Dashboard'!N5</f>
            </strRef>
          </tx>
          <spPr>
            <a:ln>
              <a:prstDash val="solid"/>
            </a:ln>
          </spPr>
          <cat>
            <numRef>
              <f>'Dashboard'!$L$6:$L$13</f>
            </numRef>
          </cat>
          <val>
            <numRef>
              <f>'Dashboard'!$N$6:$N$13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printBacklog" displayName="SprintBacklog" ref="A6:L63" headerRowCount="1">
  <autoFilter ref="A6:L63"/>
  <tableColumns count="12">
    <tableColumn id="1" name="Sprint"/>
    <tableColumn id="2" name="Step ID"/>
    <tableColumn id="3" name="Owner"/>
    <tableColumn id="4" name="Module"/>
    <tableColumn id="5" name="Track"/>
    <tableColumn id="6" name="Deliverable"/>
    <tableColumn id="7" name="Demo Line"/>
    <tableColumn id="8" name="Epic / FR"/>
    <tableColumn id="9" name="Status"/>
    <tableColumn id="10" name="% Done"/>
    <tableColumn id="11" name="Notes"/>
    <tableColumn id="12" name="PR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3" customWidth="1" min="11" max="11"/>
    <col width="22" customWidth="1" min="12" max="12"/>
    <col width="12" customWidth="1" min="13" max="13"/>
    <col width="12" customWidth="1" min="14" max="14"/>
  </cols>
  <sheetData>
    <row r="2" ht="36" customHeight="1">
      <c r="B2" s="1" t="inlineStr">
        <is>
          <t>Service Staffing Tracker — Sprint Planning Tracker</t>
        </is>
      </c>
    </row>
    <row r="3" ht="22" customHeight="1">
      <c r="B3" s="2" t="inlineStr">
        <is>
          <t>MVP team tracker · Update Status &amp; % Done on Sprint Backlog · Dashboard KPIs refresh automatically</t>
        </is>
      </c>
    </row>
    <row r="5">
      <c r="B5" s="3" t="inlineStr">
        <is>
          <t>Total Steps</t>
        </is>
      </c>
      <c r="C5" s="3" t="inlineStr">
        <is>
          <t>Done</t>
        </is>
      </c>
      <c r="D5" s="3" t="inlineStr">
        <is>
          <t>In Progress</t>
        </is>
      </c>
      <c r="E5" s="3" t="inlineStr">
        <is>
          <t>Blocked</t>
        </is>
      </c>
      <c r="F5" s="3" t="inlineStr">
        <is>
          <t>% Complete</t>
        </is>
      </c>
      <c r="G5" s="3" t="inlineStr">
        <is>
          <t>In Review</t>
        </is>
      </c>
      <c r="L5" s="4" t="inlineStr">
        <is>
          <t>Sprint</t>
        </is>
      </c>
      <c r="M5" s="4" t="inlineStr">
        <is>
          <t>Steps</t>
        </is>
      </c>
      <c r="N5" s="4" t="inlineStr">
        <is>
          <t>Done</t>
        </is>
      </c>
    </row>
    <row r="6" ht="32" customHeight="1">
      <c r="B6" s="5">
        <f>COUNTA('Sprint Backlog'!B7:B63)</f>
        <v/>
      </c>
      <c r="C6" s="5">
        <f>COUNTIF('Sprint Backlog'!I7:I63,"Done")</f>
        <v/>
      </c>
      <c r="D6" s="5">
        <f>COUNTIF('Sprint Backlog'!I7:I63,"In Progress")</f>
        <v/>
      </c>
      <c r="E6" s="5">
        <f>COUNTIF('Sprint Backlog'!I7:I63,"Blocked")</f>
        <v/>
      </c>
      <c r="F6" s="6">
        <f>IF(B6=0,0,C6/B6)</f>
        <v/>
      </c>
      <c r="G6" s="5">
        <f>COUNTIF('Sprint Backlog'!I7:I63,"In Review")</f>
        <v/>
      </c>
      <c r="L6" s="7" t="inlineStr">
        <is>
          <t>S1</t>
        </is>
      </c>
      <c r="M6" s="7">
        <f>COUNTIF('Sprint Backlog'!$A$7:$A$63,L6)</f>
        <v/>
      </c>
      <c r="N6" s="7">
        <f>COUNTIFS('Sprint Backlog'!$A$7:$A$63,L6,'Sprint Backlog'!$I$7:$I$63,"Done")</f>
        <v/>
      </c>
    </row>
    <row r="7">
      <c r="L7" s="7" t="inlineStr">
        <is>
          <t>S2</t>
        </is>
      </c>
      <c r="M7" s="7">
        <f>COUNTIF('Sprint Backlog'!$A$7:$A$63,L7)</f>
        <v/>
      </c>
      <c r="N7" s="7">
        <f>COUNTIFS('Sprint Backlog'!$A$7:$A$63,L7,'Sprint Backlog'!$I$7:$I$63,"Done")</f>
        <v/>
      </c>
    </row>
    <row r="8">
      <c r="B8" s="8" t="inlineStr">
        <is>
          <t>How to use this workbook</t>
        </is>
      </c>
      <c r="L8" s="7" t="inlineStr">
        <is>
          <t>S3</t>
        </is>
      </c>
      <c r="M8" s="7">
        <f>COUNTIF('Sprint Backlog'!$A$7:$A$63,L8)</f>
        <v/>
      </c>
      <c r="N8" s="7">
        <f>COUNTIFS('Sprint Backlog'!$A$7:$A$63,L8,'Sprint Backlog'!$I$7:$I$63,"Done")</f>
        <v/>
      </c>
    </row>
    <row r="9" ht="18" customHeight="1">
      <c r="B9" s="9" t="inlineStr">
        <is>
          <t>1. Update Status and % Done on the Sprint Backlog sheet (dropdowns provided).</t>
        </is>
      </c>
      <c r="L9" s="7" t="inlineStr">
        <is>
          <t>S4</t>
        </is>
      </c>
      <c r="M9" s="7">
        <f>COUNTIF('Sprint Backlog'!$A$7:$A$63,L9)</f>
        <v/>
      </c>
      <c r="N9" s="7">
        <f>COUNTIFS('Sprint Backlog'!$A$7:$A$63,L9,'Sprint Backlog'!$I$7:$I$63,"Done")</f>
        <v/>
      </c>
    </row>
    <row r="10" ht="18" customHeight="1">
      <c r="B10" s="9" t="inlineStr">
        <is>
          <t>2. Filter Backlog by Sprint, Owner, or Module using the table filters.</t>
        </is>
      </c>
      <c r="L10" s="7" t="inlineStr">
        <is>
          <t>S5</t>
        </is>
      </c>
      <c r="M10" s="7">
        <f>COUNTIF('Sprint Backlog'!$A$7:$A$63,L10)</f>
        <v/>
      </c>
      <c r="N10" s="7">
        <f>COUNTIFS('Sprint Backlog'!$A$7:$A$63,L10,'Sprint Backlog'!$I$7:$I$63,"Done")</f>
        <v/>
      </c>
    </row>
    <row r="11" ht="18" customHeight="1">
      <c r="B11" s="9" t="inlineStr">
        <is>
          <t>3. Check By Person / By Sprint sheets for progress rollups (formula-driven).</t>
        </is>
      </c>
      <c r="L11" s="7" t="inlineStr">
        <is>
          <t>S6</t>
        </is>
      </c>
      <c r="M11" s="7">
        <f>COUNTIF('Sprint Backlog'!$A$7:$A$63,L11)</f>
        <v/>
      </c>
      <c r="N11" s="7">
        <f>COUNTIFS('Sprint Backlog'!$A$7:$A$63,L11,'Sprint Backlog'!$I$7:$I$63,"Done")</f>
        <v/>
      </c>
    </row>
    <row r="12" ht="18" customHeight="1">
      <c r="B12" s="9" t="inlineStr">
        <is>
          <t>4. Mark Handoffs as Met when the contract criteria are satisfied.</t>
        </is>
      </c>
      <c r="L12" s="7" t="inlineStr">
        <is>
          <t>S7</t>
        </is>
      </c>
      <c r="M12" s="7">
        <f>COUNTIF('Sprint Backlog'!$A$7:$A$63,L12)</f>
        <v/>
      </c>
      <c r="N12" s="7">
        <f>COUNTIFS('Sprint Backlog'!$A$7:$A$63,L12,'Sprint Backlog'!$I$7:$I$63,"Done")</f>
        <v/>
      </c>
    </row>
    <row r="13" ht="18" customHeight="1">
      <c r="B13" s="9" t="inlineStr">
        <is>
          <t>5. Use Sprint Boards for manager demo talking points each sprint review.</t>
        </is>
      </c>
      <c r="L13" s="7" t="inlineStr">
        <is>
          <t>S8</t>
        </is>
      </c>
      <c r="M13" s="7">
        <f>COUNTIF('Sprint Backlog'!$A$7:$A$63,L13)</f>
        <v/>
      </c>
      <c r="N13" s="7">
        <f>COUNTIFS('Sprint Backlog'!$A$7:$A$63,L13,'Sprint Backlog'!$I$7:$I$63,"Done")</f>
        <v/>
      </c>
    </row>
    <row r="14" ht="18" customHeight="1">
      <c r="B14" s="9" t="inlineStr">
        <is>
          <t>6. Source of truth doc: docs/12-planning/TEAM_SPRINT_PLAN.md</t>
        </is>
      </c>
    </row>
    <row r="15">
      <c r="L15" s="10" t="inlineStr">
        <is>
          <t>Legend: update backlog Status to drive KPIs &amp; chart</t>
        </is>
      </c>
    </row>
    <row r="16">
      <c r="B16" s="11" t="inlineStr">
        <is>
          <t>Milestones</t>
        </is>
      </c>
    </row>
    <row r="17">
      <c r="B17" s="12" t="inlineStr">
        <is>
          <t>Milestone</t>
        </is>
      </c>
      <c r="C17" s="12" t="inlineStr">
        <is>
          <t>Sprints</t>
        </is>
      </c>
      <c r="D17" s="12" t="inlineStr">
        <is>
          <t>Theme</t>
        </is>
      </c>
      <c r="E17" s="12" t="inlineStr">
        <is>
          <t>Manager Demo</t>
        </is>
      </c>
    </row>
    <row r="18" ht="28" customHeight="1">
      <c r="B18" s="13" t="inlineStr">
        <is>
          <t>M1 Foundations</t>
        </is>
      </c>
      <c r="C18" s="13" t="inlineStr">
        <is>
          <t>S1–S2</t>
        </is>
      </c>
      <c r="D18" s="13" t="inlineStr">
        <is>
          <t>Login, masters, requirements</t>
        </is>
      </c>
      <c r="E18" s="13" t="inlineStr">
        <is>
          <t>Login as roles; create a requirement</t>
        </is>
      </c>
    </row>
    <row r="19" ht="28" customHeight="1">
      <c r="B19" s="14" t="inlineStr">
        <is>
          <t>M2 Pipeline</t>
        </is>
      </c>
      <c r="C19" s="14" t="inlineStr">
        <is>
          <t>S3–S4</t>
        </is>
      </c>
      <c r="D19" s="14" t="inlineStr">
        <is>
          <t>Candidates + selection</t>
        </is>
      </c>
      <c r="E19" s="14" t="inlineStr">
        <is>
          <t>Full TA pipeline on one req</t>
        </is>
      </c>
    </row>
    <row r="20" ht="28" customHeight="1">
      <c r="B20" s="13" t="inlineStr">
        <is>
          <t>M3 Close the loop</t>
        </is>
      </c>
      <c r="C20" s="13" t="inlineStr">
        <is>
          <t>S5–S6</t>
        </is>
      </c>
      <c r="D20" s="13" t="inlineStr">
        <is>
          <t>Offers → onboarding → join</t>
        </is>
      </c>
      <c r="E20" s="13" t="inlineStr">
        <is>
          <t>Candidate selected → joined</t>
        </is>
      </c>
    </row>
    <row r="21" ht="28" customHeight="1">
      <c r="B21" s="14" t="inlineStr">
        <is>
          <t>M4 Insights &amp; harden</t>
        </is>
      </c>
      <c r="C21" s="14" t="inlineStr">
        <is>
          <t>S7–S8</t>
        </is>
      </c>
      <c r="D21" s="14" t="inlineStr">
        <is>
          <t>Dashboard, import, polish</t>
        </is>
      </c>
      <c r="E21" s="14" t="inlineStr">
        <is>
          <t>Live KPIs + Excel import</t>
        </is>
      </c>
    </row>
  </sheetData>
  <mergeCells count="11">
    <mergeCell ref="B16:G16"/>
    <mergeCell ref="B3:J3"/>
    <mergeCell ref="B10:G10"/>
    <mergeCell ref="L15:N16"/>
    <mergeCell ref="B11:G11"/>
    <mergeCell ref="B14:G14"/>
    <mergeCell ref="B9:G9"/>
    <mergeCell ref="B8:G8"/>
    <mergeCell ref="B12:G12"/>
    <mergeCell ref="B13:G1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42" customWidth="1" min="4" max="4"/>
    <col width="42" customWidth="1" min="5" max="5"/>
    <col width="3" customWidth="1" min="6" max="6"/>
  </cols>
  <sheetData>
    <row r="2" ht="28" customHeight="1">
      <c r="B2" s="15" t="inlineStr">
        <is>
          <t>Module Ownership</t>
        </is>
      </c>
    </row>
    <row r="4" ht="22" customHeight="1">
      <c r="B4" s="16" t="inlineStr">
        <is>
          <t>Module / Department</t>
        </is>
      </c>
      <c r="C4" s="16" t="inlineStr">
        <is>
          <t>Member(s)</t>
        </is>
      </c>
      <c r="D4" s="16" t="inlineStr">
        <is>
          <t>Primary Epics</t>
        </is>
      </c>
      <c r="E4" s="16" t="inlineStr">
        <is>
          <t>Demo Focus</t>
        </is>
      </c>
    </row>
    <row r="5" ht="32" customHeight="1">
      <c r="B5" s="13" t="inlineStr">
        <is>
          <t>Sales</t>
        </is>
      </c>
      <c r="C5" s="13" t="inlineStr">
        <is>
          <t>Ananya</t>
        </is>
      </c>
      <c r="D5" s="13" t="inlineStr">
        <is>
          <t>E3 Requirements</t>
        </is>
      </c>
      <c r="E5" s="13" t="inlineStr">
        <is>
          <t>Create req → assign TA → status / SLA</t>
        </is>
      </c>
    </row>
    <row r="6" ht="32" customHeight="1">
      <c r="B6" s="14" t="inlineStr">
        <is>
          <t>Talent Acquisition (TA)</t>
        </is>
      </c>
      <c r="C6" s="14" t="inlineStr">
        <is>
          <t>Mohit &amp; Rohit</t>
        </is>
      </c>
      <c r="D6" s="14" t="inlineStr">
        <is>
          <t>E4 Candidates (+ offer handoff)</t>
        </is>
      </c>
      <c r="E6" s="14" t="inlineStr">
        <is>
          <t>Add candidate → stages → select → offer</t>
        </is>
      </c>
    </row>
    <row r="7" ht="32" customHeight="1">
      <c r="B7" s="13" t="inlineStr">
        <is>
          <t>HR</t>
        </is>
      </c>
      <c r="C7" s="13" t="inlineStr">
        <is>
          <t>Shalu &amp; Harsh</t>
        </is>
      </c>
      <c r="D7" s="13" t="inlineStr">
        <is>
          <t>E6 Onboarding (+ offer accept)</t>
        </is>
      </c>
      <c r="E7" s="13" t="inlineStr">
        <is>
          <t>Accept offer → docs / BGV → Joined</t>
        </is>
      </c>
    </row>
    <row r="8" ht="32" customHeight="1">
      <c r="B8" s="14" t="inlineStr">
        <is>
          <t>Admin</t>
        </is>
      </c>
      <c r="C8" s="14" t="inlineStr">
        <is>
          <t>Harsh</t>
        </is>
      </c>
      <c r="D8" s="14" t="inlineStr">
        <is>
          <t>E1 / E2 / E8 Auth, Masters, Audit, Import</t>
        </is>
      </c>
      <c r="E8" s="14" t="inlineStr">
        <is>
          <t>Users, dropdowns, audit, CSV import</t>
        </is>
      </c>
    </row>
    <row r="9" ht="32" customHeight="1">
      <c r="B9" s="13" t="inlineStr">
        <is>
          <t>Dashboard</t>
        </is>
      </c>
      <c r="C9" s="13" t="inlineStr">
        <is>
          <t>Saleena &amp; Akash</t>
        </is>
      </c>
      <c r="D9" s="13" t="inlineStr">
        <is>
          <t>E7 Dashboard</t>
        </is>
      </c>
      <c r="E9" s="13" t="inlineStr">
        <is>
          <t>KPI cards, filters, RAG / stage views</t>
        </is>
      </c>
    </row>
    <row r="10" ht="32" customHeight="1">
      <c r="B10" s="14" t="inlineStr">
        <is>
          <t>Review</t>
        </is>
      </c>
      <c r="C10" s="14" t="inlineStr">
        <is>
          <t>Akash &amp; Gaurav</t>
        </is>
      </c>
      <c r="D10" s="14" t="inlineStr">
        <is>
          <t>Cross-cutting QA</t>
        </is>
      </c>
      <c r="E10" s="14" t="inlineStr">
        <is>
          <t>Demo checklist, bugs, acceptance</t>
        </is>
      </c>
    </row>
    <row r="12" ht="22" customHeight="1">
      <c r="B12" s="17" t="inlineStr">
        <is>
          <t>Offer ownership split: Rohit (TA) create→release · Shalu (HR) accept→onboarding</t>
        </is>
      </c>
    </row>
    <row r="14">
      <c r="B14" s="18" t="inlineStr">
        <is>
          <t>Dependency: Admin unlocks all → Sales → TA → HR → Dashboard enrichment · Review every sprint</t>
        </is>
      </c>
    </row>
    <row r="16">
      <c r="B16" s="19" t="inlineStr">
        <is>
          <t>Ceremonies</t>
        </is>
      </c>
    </row>
    <row r="17">
      <c r="B17" s="20" t="inlineStr">
        <is>
          <t>Ceremony</t>
        </is>
      </c>
      <c r="C17" s="20" t="inlineStr">
        <is>
          <t>Cadence</t>
        </is>
      </c>
      <c r="D17" s="20" t="inlineStr">
        <is>
          <t>Owner / Focus</t>
        </is>
      </c>
    </row>
    <row r="18">
      <c r="B18" s="14" t="inlineStr">
        <is>
          <t>Planning</t>
        </is>
      </c>
      <c r="C18" s="14" t="inlineStr">
        <is>
          <t>Start of sprint</t>
        </is>
      </c>
      <c r="D18" s="14" t="inlineStr">
        <is>
          <t>Module owners pick Step IDs by dependency graph</t>
        </is>
      </c>
    </row>
    <row r="19">
      <c r="B19" s="14" t="inlineStr">
        <is>
          <t>Daily</t>
        </is>
      </c>
      <c r="C19" s="14" t="inlineStr">
        <is>
          <t>Daily</t>
        </is>
      </c>
      <c r="D19" s="14" t="inlineStr">
        <is>
          <t>Blockers only</t>
        </is>
      </c>
    </row>
    <row r="20">
      <c r="B20" s="14" t="inlineStr">
        <is>
          <t>Review</t>
        </is>
      </c>
      <c r="C20" s="14" t="inlineStr">
        <is>
          <t>End of sprint</t>
        </is>
      </c>
      <c r="D20" s="14" t="inlineStr">
        <is>
          <t>Akash leads demo script; owners demo</t>
        </is>
      </c>
    </row>
    <row r="21">
      <c r="B21" s="14" t="inlineStr">
        <is>
          <t>Retro</t>
        </is>
      </c>
      <c r="C21" s="14" t="inlineStr">
        <is>
          <t>End of sprint</t>
        </is>
      </c>
      <c r="D21" s="14" t="inlineStr">
        <is>
          <t>Doc gaps + handoff friction</t>
        </is>
      </c>
    </row>
  </sheetData>
  <mergeCells count="4">
    <mergeCell ref="B14:E14"/>
    <mergeCell ref="B12:E12"/>
    <mergeCell ref="B2:E2"/>
    <mergeCell ref="B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4" customWidth="1" min="5" max="5"/>
    <col width="55" customWidth="1" min="6" max="6"/>
    <col width="36" customWidth="1" min="7" max="7"/>
    <col width="24" customWidth="1" min="8" max="8"/>
    <col width="14" customWidth="1" min="9" max="9"/>
    <col width="10" customWidth="1" min="10" max="10"/>
    <col width="28" customWidth="1" min="11" max="11"/>
    <col width="22" customWidth="1" min="12" max="12"/>
  </cols>
  <sheetData>
    <row r="1" ht="26" customHeight="1">
      <c r="A1" s="21" t="inlineStr">
        <is>
          <t>Sprint Backlog — Track every step (edit Status / % Done / Notes / PR Link)</t>
        </is>
      </c>
    </row>
    <row r="2">
      <c r="A2" s="22" t="inlineStr">
        <is>
          <t>Done when: UI + API (where applicable) + short test note · Link PRs to Step ID</t>
        </is>
      </c>
    </row>
    <row r="6" ht="28" customHeight="1">
      <c r="A6" s="23" t="inlineStr">
        <is>
          <t>Sprint</t>
        </is>
      </c>
      <c r="B6" s="23" t="inlineStr">
        <is>
          <t>Step ID</t>
        </is>
      </c>
      <c r="C6" s="23" t="inlineStr">
        <is>
          <t>Owner</t>
        </is>
      </c>
      <c r="D6" s="23" t="inlineStr">
        <is>
          <t>Module</t>
        </is>
      </c>
      <c r="E6" s="23" t="inlineStr">
        <is>
          <t>Track</t>
        </is>
      </c>
      <c r="F6" s="23" t="inlineStr">
        <is>
          <t>Deliverable</t>
        </is>
      </c>
      <c r="G6" s="23" t="inlineStr">
        <is>
          <t>Demo Line</t>
        </is>
      </c>
      <c r="H6" s="23" t="inlineStr">
        <is>
          <t>Epic / FR</t>
        </is>
      </c>
      <c r="I6" s="23" t="inlineStr">
        <is>
          <t>Status</t>
        </is>
      </c>
      <c r="J6" s="23" t="inlineStr">
        <is>
          <t>% Done</t>
        </is>
      </c>
      <c r="K6" s="23" t="inlineStr">
        <is>
          <t>Notes</t>
        </is>
      </c>
      <c r="L6" s="23" t="inlineStr">
        <is>
          <t>PR Link</t>
        </is>
      </c>
    </row>
    <row r="7" ht="36" customHeight="1">
      <c r="A7" s="24" t="inlineStr">
        <is>
          <t>S1</t>
        </is>
      </c>
      <c r="B7" s="24" t="inlineStr">
        <is>
          <t>A-1</t>
        </is>
      </c>
      <c r="C7" s="25" t="inlineStr">
        <is>
          <t>Harsh</t>
        </is>
      </c>
      <c r="D7" s="24" t="inlineStr">
        <is>
          <t>Admin</t>
        </is>
      </c>
      <c r="E7" s="25" t="inlineStr">
        <is>
          <t>Admin</t>
        </is>
      </c>
      <c r="F7" s="25" t="inlineStr">
        <is>
          <t>Login + JWT session + role-based route guards</t>
        </is>
      </c>
      <c r="G7" s="25" t="inlineStr">
        <is>
          <t>Secure access</t>
        </is>
      </c>
      <c r="H7" s="25" t="inlineStr">
        <is>
          <t>E1 / FR-AUTH</t>
        </is>
      </c>
      <c r="I7" s="24" t="inlineStr">
        <is>
          <t>Not Started</t>
        </is>
      </c>
      <c r="J7" s="26" t="n">
        <v>0</v>
      </c>
      <c r="K7" s="25" t="inlineStr"/>
      <c r="L7" s="25" t="inlineStr"/>
    </row>
    <row r="8" ht="36" customHeight="1">
      <c r="A8" s="27" t="inlineStr">
        <is>
          <t>S1</t>
        </is>
      </c>
      <c r="B8" s="27" t="inlineStr">
        <is>
          <t>A-2</t>
        </is>
      </c>
      <c r="C8" s="28" t="inlineStr">
        <is>
          <t>Harsh</t>
        </is>
      </c>
      <c r="D8" s="27" t="inlineStr">
        <is>
          <t>Admin</t>
        </is>
      </c>
      <c r="E8" s="28" t="inlineStr">
        <is>
          <t>Admin</t>
        </is>
      </c>
      <c r="F8" s="28" t="inlineStr">
        <is>
          <t>Seed + serve Setup Lists (stages, statuses, priorities…)</t>
        </is>
      </c>
      <c r="G8" s="28" t="inlineStr">
        <is>
          <t>Dropdowns match Excel</t>
        </is>
      </c>
      <c r="H8" s="28" t="inlineStr">
        <is>
          <t>E2 / FR-MD</t>
        </is>
      </c>
      <c r="I8" s="27" t="inlineStr">
        <is>
          <t>Not Started</t>
        </is>
      </c>
      <c r="J8" s="29" t="n">
        <v>0</v>
      </c>
      <c r="K8" s="28" t="inlineStr"/>
      <c r="L8" s="28" t="inlineStr"/>
    </row>
    <row r="9" ht="36" customHeight="1">
      <c r="A9" s="24" t="inlineStr">
        <is>
          <t>S1</t>
        </is>
      </c>
      <c r="B9" s="24" t="inlineStr">
        <is>
          <t>S-1</t>
        </is>
      </c>
      <c r="C9" s="25" t="inlineStr">
        <is>
          <t>Ananya</t>
        </is>
      </c>
      <c r="D9" s="24" t="inlineStr">
        <is>
          <t>Sales</t>
        </is>
      </c>
      <c r="E9" s="25" t="inlineStr">
        <is>
          <t>Requirements</t>
        </is>
      </c>
      <c r="F9" s="25" t="inlineStr">
        <is>
          <t>Requirements list page (table, search, basic filters)</t>
        </is>
      </c>
      <c r="G9" s="25" t="inlineStr">
        <is>
          <t>Here's all open demand</t>
        </is>
      </c>
      <c r="H9" s="25" t="inlineStr">
        <is>
          <t>E3-S1 / FR-REQ</t>
        </is>
      </c>
      <c r="I9" s="24" t="inlineStr">
        <is>
          <t>Not Started</t>
        </is>
      </c>
      <c r="J9" s="26" t="n">
        <v>0</v>
      </c>
      <c r="K9" s="25" t="inlineStr"/>
      <c r="L9" s="25" t="inlineStr"/>
    </row>
    <row r="10" ht="36" customHeight="1">
      <c r="A10" s="27" t="inlineStr">
        <is>
          <t>S1</t>
        </is>
      </c>
      <c r="B10" s="27" t="inlineStr">
        <is>
          <t>S-2</t>
        </is>
      </c>
      <c r="C10" s="28" t="inlineStr">
        <is>
          <t>Ananya</t>
        </is>
      </c>
      <c r="D10" s="27" t="inlineStr">
        <is>
          <t>Sales</t>
        </is>
      </c>
      <c r="E10" s="28" t="inlineStr">
        <is>
          <t>Requirements</t>
        </is>
      </c>
      <c r="F10" s="28" t="inlineStr">
        <is>
          <t>Create requirement form (client, role, positions, sales owner, priority)</t>
        </is>
      </c>
      <c r="G10" s="28" t="inlineStr">
        <is>
          <t>New req in 1 minute</t>
        </is>
      </c>
      <c r="H10" s="28" t="inlineStr">
        <is>
          <t>E3-S1 / FR-REQ-01</t>
        </is>
      </c>
      <c r="I10" s="27" t="inlineStr">
        <is>
          <t>Not Started</t>
        </is>
      </c>
      <c r="J10" s="29" t="n">
        <v>0</v>
      </c>
      <c r="K10" s="28" t="inlineStr"/>
      <c r="L10" s="28" t="inlineStr"/>
    </row>
    <row r="11" ht="36" customHeight="1">
      <c r="A11" s="24" t="inlineStr">
        <is>
          <t>S1</t>
        </is>
      </c>
      <c r="B11" s="24" t="inlineStr">
        <is>
          <t>D-S1</t>
        </is>
      </c>
      <c r="C11" s="25" t="inlineStr">
        <is>
          <t>Saleena</t>
        </is>
      </c>
      <c r="D11" s="24" t="inlineStr">
        <is>
          <t>Dashboard</t>
        </is>
      </c>
      <c r="E11" s="25" t="inlineStr">
        <is>
          <t>Dashboard</t>
        </is>
      </c>
      <c r="F11" s="25" t="inlineStr">
        <is>
          <t>Dashboard shell + loading skeletons</t>
        </is>
      </c>
      <c r="G11" s="25" t="inlineStr">
        <is>
          <t>Home page ready</t>
        </is>
      </c>
      <c r="H11" s="25" t="inlineStr">
        <is>
          <t>E7</t>
        </is>
      </c>
      <c r="I11" s="24" t="inlineStr">
        <is>
          <t>Not Started</t>
        </is>
      </c>
      <c r="J11" s="26" t="n">
        <v>0</v>
      </c>
      <c r="K11" s="25" t="inlineStr"/>
      <c r="L11" s="25" t="inlineStr"/>
    </row>
    <row r="12" ht="36" customHeight="1">
      <c r="A12" s="27" t="inlineStr">
        <is>
          <t>S1</t>
        </is>
      </c>
      <c r="B12" s="27" t="inlineStr">
        <is>
          <t>R-G1</t>
        </is>
      </c>
      <c r="C12" s="28" t="inlineStr">
        <is>
          <t>Gaurav</t>
        </is>
      </c>
      <c r="D12" s="27" t="inlineStr">
        <is>
          <t>Review</t>
        </is>
      </c>
      <c r="E12" s="28" t="inlineStr">
        <is>
          <t>Review</t>
        </is>
      </c>
      <c r="F12" s="28" t="inlineStr">
        <is>
          <t>Test accounts per role (Admin/Sales/TA/HR/Lead) + login matrix</t>
        </is>
      </c>
      <c r="G12" s="28" t="inlineStr">
        <is>
          <t>RBAC demo prep</t>
        </is>
      </c>
      <c r="H12" s="28" t="inlineStr">
        <is>
          <t>QA</t>
        </is>
      </c>
      <c r="I12" s="27" t="inlineStr">
        <is>
          <t>Not Started</t>
        </is>
      </c>
      <c r="J12" s="29" t="n">
        <v>0</v>
      </c>
      <c r="K12" s="28" t="inlineStr"/>
      <c r="L12" s="28" t="inlineStr"/>
    </row>
    <row r="13" ht="36" customHeight="1">
      <c r="A13" s="24" t="inlineStr">
        <is>
          <t>S1</t>
        </is>
      </c>
      <c r="B13" s="24" t="inlineStr">
        <is>
          <t>R-A1</t>
        </is>
      </c>
      <c r="C13" s="25" t="inlineStr">
        <is>
          <t>Akash</t>
        </is>
      </c>
      <c r="D13" s="24" t="inlineStr">
        <is>
          <t>Review</t>
        </is>
      </c>
      <c r="E13" s="25" t="inlineStr">
        <is>
          <t>Review</t>
        </is>
      </c>
      <c r="F13" s="25" t="inlineStr">
        <is>
          <t>Sprint demo script + acceptance checklist (ongoing)</t>
        </is>
      </c>
      <c r="G13" s="25" t="inlineStr">
        <is>
          <t>Manager walkthrough ready</t>
        </is>
      </c>
      <c r="H13" s="25" t="inlineStr">
        <is>
          <t>QA</t>
        </is>
      </c>
      <c r="I13" s="24" t="inlineStr">
        <is>
          <t>Not Started</t>
        </is>
      </c>
      <c r="J13" s="26" t="n">
        <v>0</v>
      </c>
      <c r="K13" s="25" t="inlineStr"/>
      <c r="L13" s="25" t="inlineStr"/>
    </row>
    <row r="14" ht="36" customHeight="1">
      <c r="A14" s="27" t="inlineStr">
        <is>
          <t>S2</t>
        </is>
      </c>
      <c r="B14" s="27" t="inlineStr">
        <is>
          <t>A-3</t>
        </is>
      </c>
      <c r="C14" s="28" t="inlineStr">
        <is>
          <t>Harsh</t>
        </is>
      </c>
      <c r="D14" s="27" t="inlineStr">
        <is>
          <t>Admin</t>
        </is>
      </c>
      <c r="E14" s="28" t="inlineStr">
        <is>
          <t>Admin</t>
        </is>
      </c>
      <c r="F14" s="28" t="inlineStr">
        <is>
          <t>Admin Users CRUD (create/disable, assign roles)</t>
        </is>
      </c>
      <c r="G14" s="28" t="inlineStr">
        <is>
          <t>Provision Sales/TA/HR</t>
        </is>
      </c>
      <c r="H14" s="28" t="inlineStr">
        <is>
          <t>E1-S3 / FR-AUTH-04</t>
        </is>
      </c>
      <c r="I14" s="27" t="inlineStr">
        <is>
          <t>Not Started</t>
        </is>
      </c>
      <c r="J14" s="29" t="n">
        <v>0</v>
      </c>
      <c r="K14" s="28" t="inlineStr"/>
      <c r="L14" s="28" t="inlineStr"/>
    </row>
    <row r="15" ht="36" customHeight="1">
      <c r="A15" s="24" t="inlineStr">
        <is>
          <t>S2</t>
        </is>
      </c>
      <c r="B15" s="24" t="inlineStr">
        <is>
          <t>A-4</t>
        </is>
      </c>
      <c r="C15" s="25" t="inlineStr">
        <is>
          <t>Harsh</t>
        </is>
      </c>
      <c r="D15" s="24" t="inlineStr">
        <is>
          <t>Admin</t>
        </is>
      </c>
      <c r="E15" s="25" t="inlineStr">
        <is>
          <t>Admin</t>
        </is>
      </c>
      <c r="F15" s="25" t="inlineStr">
        <is>
          <t>Clients + Job Families CRUD</t>
        </is>
      </c>
      <c r="G15" s="25" t="inlineStr">
        <is>
          <t>Normalized masters</t>
        </is>
      </c>
      <c r="H15" s="25" t="inlineStr">
        <is>
          <t>E2-S2 / FR-MD-08/09</t>
        </is>
      </c>
      <c r="I15" s="24" t="inlineStr">
        <is>
          <t>Not Started</t>
        </is>
      </c>
      <c r="J15" s="26" t="n">
        <v>0</v>
      </c>
      <c r="K15" s="25" t="inlineStr"/>
      <c r="L15" s="25" t="inlineStr"/>
    </row>
    <row r="16" ht="36" customHeight="1">
      <c r="A16" s="27" t="inlineStr">
        <is>
          <t>S2</t>
        </is>
      </c>
      <c r="B16" s="27" t="inlineStr">
        <is>
          <t>S-3</t>
        </is>
      </c>
      <c r="C16" s="28" t="inlineStr">
        <is>
          <t>Ananya</t>
        </is>
      </c>
      <c r="D16" s="27" t="inlineStr">
        <is>
          <t>Sales</t>
        </is>
      </c>
      <c r="E16" s="28" t="inlineStr">
        <is>
          <t>Requirements</t>
        </is>
      </c>
      <c r="F16" s="28" t="inlineStr">
        <is>
          <t>Requirement detail page + edit</t>
        </is>
      </c>
      <c r="G16" s="28" t="inlineStr">
        <is>
          <t>Edit without breaking Excel rules</t>
        </is>
      </c>
      <c r="H16" s="28" t="inlineStr">
        <is>
          <t>E3 / FR-REQ</t>
        </is>
      </c>
      <c r="I16" s="27" t="inlineStr">
        <is>
          <t>Not Started</t>
        </is>
      </c>
      <c r="J16" s="29" t="n">
        <v>0</v>
      </c>
      <c r="K16" s="28" t="inlineStr"/>
      <c r="L16" s="28" t="inlineStr"/>
    </row>
    <row r="17" ht="36" customHeight="1">
      <c r="A17" s="24" t="inlineStr">
        <is>
          <t>S2</t>
        </is>
      </c>
      <c r="B17" s="24" t="inlineStr">
        <is>
          <t>S-4</t>
        </is>
      </c>
      <c r="C17" s="25" t="inlineStr">
        <is>
          <t>Ananya</t>
        </is>
      </c>
      <c r="D17" s="24" t="inlineStr">
        <is>
          <t>Sales</t>
        </is>
      </c>
      <c r="E17" s="25" t="inlineStr">
        <is>
          <t>Requirements</t>
        </is>
      </c>
      <c r="F17" s="25" t="inlineStr">
        <is>
          <t>Assign TA + TA handoff date</t>
        </is>
      </c>
      <c r="G17" s="25" t="inlineStr">
        <is>
          <t>Sales → TA handoff</t>
        </is>
      </c>
      <c r="H17" s="25" t="inlineStr">
        <is>
          <t>E3-S2 / FR-REQ-02</t>
        </is>
      </c>
      <c r="I17" s="24" t="inlineStr">
        <is>
          <t>Not Started</t>
        </is>
      </c>
      <c r="J17" s="26" t="n">
        <v>0</v>
      </c>
      <c r="K17" s="25" t="inlineStr"/>
      <c r="L17" s="25" t="inlineStr"/>
    </row>
    <row r="18" ht="36" customHeight="1">
      <c r="A18" s="27" t="inlineStr">
        <is>
          <t>S2</t>
        </is>
      </c>
      <c r="B18" s="27" t="inlineStr">
        <is>
          <t>T-M1</t>
        </is>
      </c>
      <c r="C18" s="28" t="inlineStr">
        <is>
          <t>Mohit</t>
        </is>
      </c>
      <c r="D18" s="27" t="inlineStr">
        <is>
          <t>TA</t>
        </is>
      </c>
      <c r="E18" s="28" t="inlineStr">
        <is>
          <t>Candidates</t>
        </is>
      </c>
      <c r="F18" s="28" t="inlineStr">
        <is>
          <t>Candidates list + filter by requirement</t>
        </is>
      </c>
      <c r="G18" s="28" t="inlineStr">
        <is>
          <t>Pipeline inventory</t>
        </is>
      </c>
      <c r="H18" s="28" t="inlineStr">
        <is>
          <t>E4 / FR-CAN-10</t>
        </is>
      </c>
      <c r="I18" s="27" t="inlineStr">
        <is>
          <t>Not Started</t>
        </is>
      </c>
      <c r="J18" s="29" t="n">
        <v>0</v>
      </c>
      <c r="K18" s="28" t="inlineStr"/>
      <c r="L18" s="28" t="inlineStr"/>
    </row>
    <row r="19" ht="36" customHeight="1">
      <c r="A19" s="24" t="inlineStr">
        <is>
          <t>S2</t>
        </is>
      </c>
      <c r="B19" s="24" t="inlineStr">
        <is>
          <t>D-S1b</t>
        </is>
      </c>
      <c r="C19" s="25" t="inlineStr">
        <is>
          <t>Saleena</t>
        </is>
      </c>
      <c r="D19" s="24" t="inlineStr">
        <is>
          <t>Dashboard</t>
        </is>
      </c>
      <c r="E19" s="25" t="inlineStr">
        <is>
          <t>Dashboard</t>
        </is>
      </c>
      <c r="F19" s="25" t="inlineStr">
        <is>
          <t>KPI card layout shell (zeros OK)</t>
        </is>
      </c>
      <c r="G19" s="25" t="inlineStr">
        <is>
          <t>Demand cards placeholder</t>
        </is>
      </c>
      <c r="H19" s="25" t="inlineStr">
        <is>
          <t>E7-S1</t>
        </is>
      </c>
      <c r="I19" s="24" t="inlineStr">
        <is>
          <t>Not Started</t>
        </is>
      </c>
      <c r="J19" s="26" t="n">
        <v>0</v>
      </c>
      <c r="K19" s="25" t="inlineStr"/>
      <c r="L19" s="25" t="inlineStr"/>
    </row>
    <row r="20" ht="36" customHeight="1">
      <c r="A20" s="27" t="inlineStr">
        <is>
          <t>S2</t>
        </is>
      </c>
      <c r="B20" s="27" t="inlineStr">
        <is>
          <t>R-G2</t>
        </is>
      </c>
      <c r="C20" s="28" t="inlineStr">
        <is>
          <t>Gaurav</t>
        </is>
      </c>
      <c r="D20" s="27" t="inlineStr">
        <is>
          <t>Review</t>
        </is>
      </c>
      <c r="E20" s="28" t="inlineStr">
        <is>
          <t>Review</t>
        </is>
      </c>
      <c r="F20" s="28" t="inlineStr">
        <is>
          <t>Requirements acceptance checklist vs FR-REQ</t>
        </is>
      </c>
      <c r="G20" s="28" t="inlineStr">
        <is>
          <t>Sales module sign-off</t>
        </is>
      </c>
      <c r="H20" s="28" t="inlineStr">
        <is>
          <t>QA</t>
        </is>
      </c>
      <c r="I20" s="27" t="inlineStr">
        <is>
          <t>Not Started</t>
        </is>
      </c>
      <c r="J20" s="29" t="n">
        <v>0</v>
      </c>
      <c r="K20" s="28" t="inlineStr"/>
      <c r="L20" s="28" t="inlineStr"/>
    </row>
    <row r="21" ht="36" customHeight="1">
      <c r="A21" s="24" t="inlineStr">
        <is>
          <t>S3</t>
        </is>
      </c>
      <c r="B21" s="24" t="inlineStr">
        <is>
          <t>S-5</t>
        </is>
      </c>
      <c r="C21" s="25" t="inlineStr">
        <is>
          <t>Ananya</t>
        </is>
      </c>
      <c r="D21" s="24" t="inlineStr">
        <is>
          <t>Sales</t>
        </is>
      </c>
      <c r="E21" s="25" t="inlineStr">
        <is>
          <t>Requirements</t>
        </is>
      </c>
      <c r="F21" s="25" t="inlineStr">
        <is>
          <t>Status transitions: Active / On Hold / Cancelled / Closed</t>
        </is>
      </c>
      <c r="G21" s="25" t="inlineStr">
        <is>
          <t>Lifecycle controls</t>
        </is>
      </c>
      <c r="H21" s="25" t="inlineStr">
        <is>
          <t>E3-S3 / FR-REQ-08</t>
        </is>
      </c>
      <c r="I21" s="24" t="inlineStr">
        <is>
          <t>Not Started</t>
        </is>
      </c>
      <c r="J21" s="26" t="n">
        <v>0</v>
      </c>
      <c r="K21" s="25" t="inlineStr"/>
      <c r="L21" s="25" t="inlineStr"/>
    </row>
    <row r="22" ht="36" customHeight="1">
      <c r="A22" s="27" t="inlineStr">
        <is>
          <t>S3</t>
        </is>
      </c>
      <c r="B22" s="27" t="inlineStr">
        <is>
          <t>S-6</t>
        </is>
      </c>
      <c r="C22" s="28" t="inlineStr">
        <is>
          <t>Ananya</t>
        </is>
      </c>
      <c r="D22" s="27" t="inlineStr">
        <is>
          <t>Sales</t>
        </is>
      </c>
      <c r="E22" s="28" t="inlineStr">
        <is>
          <t>Requirements</t>
        </is>
      </c>
      <c r="F22" s="28" t="inlineStr">
        <is>
          <t>Derived fields: age, open/closed positions, TA handoff RAG</t>
        </is>
      </c>
      <c r="G22" s="28" t="inlineStr">
        <is>
          <t>SLA visible without Excel formulas</t>
        </is>
      </c>
      <c r="H22" s="28" t="inlineStr">
        <is>
          <t>E3-S4 / FR-REQ-05/06/07</t>
        </is>
      </c>
      <c r="I22" s="27" t="inlineStr">
        <is>
          <t>Not Started</t>
        </is>
      </c>
      <c r="J22" s="29" t="n">
        <v>0</v>
      </c>
      <c r="K22" s="28" t="inlineStr"/>
      <c r="L22" s="28" t="inlineStr"/>
    </row>
    <row r="23" ht="36" customHeight="1">
      <c r="A23" s="24" t="inlineStr">
        <is>
          <t>S3</t>
        </is>
      </c>
      <c r="B23" s="24" t="inlineStr">
        <is>
          <t>T-M2</t>
        </is>
      </c>
      <c r="C23" s="25" t="inlineStr">
        <is>
          <t>Mohit</t>
        </is>
      </c>
      <c r="D23" s="24" t="inlineStr">
        <is>
          <t>TA</t>
        </is>
      </c>
      <c r="E23" s="25" t="inlineStr">
        <is>
          <t>Candidates</t>
        </is>
      </c>
      <c r="F23" s="25" t="inlineStr">
        <is>
          <t>Add candidate from requirement detail (prefill client/role/owners)</t>
        </is>
      </c>
      <c r="G23" s="25" t="inlineStr">
        <is>
          <t>Add profile in context</t>
        </is>
      </c>
      <c r="H23" s="25" t="inlineStr">
        <is>
          <t>E4-S1 / FR-CAN-01/02/09</t>
        </is>
      </c>
      <c r="I23" s="24" t="inlineStr">
        <is>
          <t>Not Started</t>
        </is>
      </c>
      <c r="J23" s="26" t="n">
        <v>0</v>
      </c>
      <c r="K23" s="25" t="inlineStr"/>
      <c r="L23" s="25" t="inlineStr"/>
    </row>
    <row r="24" ht="36" customHeight="1">
      <c r="A24" s="27" t="inlineStr">
        <is>
          <t>S3</t>
        </is>
      </c>
      <c r="B24" s="27" t="inlineStr">
        <is>
          <t>T-M3</t>
        </is>
      </c>
      <c r="C24" s="28" t="inlineStr">
        <is>
          <t>Mohit</t>
        </is>
      </c>
      <c r="D24" s="27" t="inlineStr">
        <is>
          <t>TA</t>
        </is>
      </c>
      <c r="E24" s="28" t="inlineStr">
        <is>
          <t>Candidates</t>
        </is>
      </c>
      <c r="F24" s="28" t="inlineStr">
        <is>
          <t>Stage + feedback updates (dropdowns from masters)</t>
        </is>
      </c>
      <c r="G24" s="28" t="inlineStr">
        <is>
          <t>Stage moves like Excel, but audited</t>
        </is>
      </c>
      <c r="H24" s="28" t="inlineStr">
        <is>
          <t>E4-S2 / FR-CAN-03</t>
        </is>
      </c>
      <c r="I24" s="27" t="inlineStr">
        <is>
          <t>Not Started</t>
        </is>
      </c>
      <c r="J24" s="29" t="n">
        <v>0</v>
      </c>
      <c r="K24" s="28" t="inlineStr"/>
      <c r="L24" s="28" t="inlineStr"/>
    </row>
    <row r="25" ht="36" customHeight="1">
      <c r="A25" s="24" t="inlineStr">
        <is>
          <t>S3</t>
        </is>
      </c>
      <c r="B25" s="24" t="inlineStr">
        <is>
          <t>T-R1</t>
        </is>
      </c>
      <c r="C25" s="25" t="inlineStr">
        <is>
          <t>Rohit</t>
        </is>
      </c>
      <c r="D25" s="24" t="inlineStr">
        <is>
          <t>TA</t>
        </is>
      </c>
      <c r="E25" s="25" t="inlineStr">
        <is>
          <t>Candidates</t>
        </is>
      </c>
      <c r="F25" s="25" t="inlineStr">
        <is>
          <t>Candidate form validation + link integrity to Req ID</t>
        </is>
      </c>
      <c r="G25" s="25" t="inlineStr">
        <is>
          <t>Data quality at entry</t>
        </is>
      </c>
      <c r="H25" s="25" t="inlineStr">
        <is>
          <t>E4 / FR-CAN</t>
        </is>
      </c>
      <c r="I25" s="24" t="inlineStr">
        <is>
          <t>Not Started</t>
        </is>
      </c>
      <c r="J25" s="26" t="n">
        <v>0</v>
      </c>
      <c r="K25" s="25" t="inlineStr"/>
      <c r="L25" s="25" t="inlineStr"/>
    </row>
    <row r="26" ht="36" customHeight="1">
      <c r="A26" s="27" t="inlineStr">
        <is>
          <t>S3</t>
        </is>
      </c>
      <c r="B26" s="27" t="inlineStr">
        <is>
          <t>A-5</t>
        </is>
      </c>
      <c r="C26" s="28" t="inlineStr">
        <is>
          <t>Harsh</t>
        </is>
      </c>
      <c r="D26" s="27" t="inlineStr">
        <is>
          <t>Admin</t>
        </is>
      </c>
      <c r="E26" s="28" t="inlineStr">
        <is>
          <t>Admin</t>
        </is>
      </c>
      <c r="F26" s="28" t="inlineStr">
        <is>
          <t>Wire all forms to master-data APIs</t>
        </is>
      </c>
      <c r="G26" s="28" t="inlineStr">
        <is>
          <t>No hard-coded lists</t>
        </is>
      </c>
      <c r="H26" s="28" t="inlineStr">
        <is>
          <t>E2-S3</t>
        </is>
      </c>
      <c r="I26" s="27" t="inlineStr">
        <is>
          <t>Not Started</t>
        </is>
      </c>
      <c r="J26" s="29" t="n">
        <v>0</v>
      </c>
      <c r="K26" s="28" t="inlineStr"/>
      <c r="L26" s="28" t="inlineStr"/>
    </row>
    <row r="27" ht="36" customHeight="1">
      <c r="A27" s="24" t="inlineStr">
        <is>
          <t>S3</t>
        </is>
      </c>
      <c r="B27" s="24" t="inlineStr">
        <is>
          <t>D-S2</t>
        </is>
      </c>
      <c r="C27" s="25" t="inlineStr">
        <is>
          <t>Saleena</t>
        </is>
      </c>
      <c r="D27" s="24" t="inlineStr">
        <is>
          <t>Dashboard</t>
        </is>
      </c>
      <c r="E27" s="25" t="inlineStr">
        <is>
          <t>Dashboard</t>
        </is>
      </c>
      <c r="F27" s="25" t="inlineStr">
        <is>
          <t>KPI cards: total reqs, positions, open/closed</t>
        </is>
      </c>
      <c r="G27" s="25" t="inlineStr">
        <is>
          <t>Demand snapshot</t>
        </is>
      </c>
      <c r="H27" s="25" t="inlineStr">
        <is>
          <t>E7-S1 / FR-DASH-01</t>
        </is>
      </c>
      <c r="I27" s="24" t="inlineStr">
        <is>
          <t>Not Started</t>
        </is>
      </c>
      <c r="J27" s="26" t="n">
        <v>0</v>
      </c>
      <c r="K27" s="25" t="inlineStr"/>
      <c r="L27" s="25" t="inlineStr"/>
    </row>
    <row r="28" ht="36" customHeight="1">
      <c r="A28" s="27" t="inlineStr">
        <is>
          <t>S3</t>
        </is>
      </c>
      <c r="B28" s="27" t="inlineStr">
        <is>
          <t>D-A1</t>
        </is>
      </c>
      <c r="C28" s="28" t="inlineStr">
        <is>
          <t>Akash</t>
        </is>
      </c>
      <c r="D28" s="27" t="inlineStr">
        <is>
          <t>Dashboard</t>
        </is>
      </c>
      <c r="E28" s="28" t="inlineStr">
        <is>
          <t>Dashboard</t>
        </is>
      </c>
      <c r="F28" s="28" t="inlineStr">
        <is>
          <t>Filter bar: TA owner, client, date range</t>
        </is>
      </c>
      <c r="G28" s="28" t="inlineStr">
        <is>
          <t>Slice the book</t>
        </is>
      </c>
      <c r="H28" s="28" t="inlineStr">
        <is>
          <t>E7-S3 / FR-DASH-07</t>
        </is>
      </c>
      <c r="I28" s="27" t="inlineStr">
        <is>
          <t>Not Started</t>
        </is>
      </c>
      <c r="J28" s="29" t="n">
        <v>0</v>
      </c>
      <c r="K28" s="28" t="inlineStr"/>
      <c r="L28" s="28" t="inlineStr"/>
    </row>
    <row r="29" ht="36" customHeight="1">
      <c r="A29" s="24" t="inlineStr">
        <is>
          <t>S4</t>
        </is>
      </c>
      <c r="B29" s="24" t="inlineStr">
        <is>
          <t>S-7</t>
        </is>
      </c>
      <c r="C29" s="25" t="inlineStr">
        <is>
          <t>Ananya</t>
        </is>
      </c>
      <c r="D29" s="24" t="inlineStr">
        <is>
          <t>Sales</t>
        </is>
      </c>
      <c r="E29" s="25" t="inlineStr">
        <is>
          <t>Requirements</t>
        </is>
      </c>
      <c r="F29" s="25" t="inlineStr">
        <is>
          <t>Role-scoped default filter (salesOwner = me) + empty/error polish</t>
        </is>
      </c>
      <c r="G29" s="25" t="inlineStr">
        <is>
          <t>My book of business</t>
        </is>
      </c>
      <c r="H29" s="25" t="inlineStr">
        <is>
          <t>E3 / FR-REQ-09</t>
        </is>
      </c>
      <c r="I29" s="24" t="inlineStr">
        <is>
          <t>Not Started</t>
        </is>
      </c>
      <c r="J29" s="26" t="n">
        <v>0</v>
      </c>
      <c r="K29" s="25" t="inlineStr"/>
      <c r="L29" s="25" t="inlineStr"/>
    </row>
    <row r="30" ht="36" customHeight="1">
      <c r="A30" s="27" t="inlineStr">
        <is>
          <t>S4</t>
        </is>
      </c>
      <c r="B30" s="27" t="inlineStr">
        <is>
          <t>T-M4</t>
        </is>
      </c>
      <c r="C30" s="28" t="inlineStr">
        <is>
          <t>Mohit</t>
        </is>
      </c>
      <c r="D30" s="27" t="inlineStr">
        <is>
          <t>TA</t>
        </is>
      </c>
      <c r="E30" s="28" t="inlineStr">
        <is>
          <t>Candidates</t>
        </is>
      </c>
      <c r="F30" s="28" t="inlineStr">
        <is>
          <t>Profile submitted / shortlist dates + interview round</t>
        </is>
      </c>
      <c r="G30" s="28" t="inlineStr">
        <is>
          <t>Interview tracking</t>
        </is>
      </c>
      <c r="H30" s="28" t="inlineStr">
        <is>
          <t>E4 / FR-CAN-04</t>
        </is>
      </c>
      <c r="I30" s="27" t="inlineStr">
        <is>
          <t>Not Started</t>
        </is>
      </c>
      <c r="J30" s="29" t="n">
        <v>0</v>
      </c>
      <c r="K30" s="28" t="inlineStr"/>
      <c r="L30" s="28" t="inlineStr"/>
    </row>
    <row r="31" ht="36" customHeight="1">
      <c r="A31" s="24" t="inlineStr">
        <is>
          <t>S4</t>
        </is>
      </c>
      <c r="B31" s="24" t="inlineStr">
        <is>
          <t>T-M5</t>
        </is>
      </c>
      <c r="C31" s="25" t="inlineStr">
        <is>
          <t>Mohit</t>
        </is>
      </c>
      <c r="D31" s="24" t="inlineStr">
        <is>
          <t>TA</t>
        </is>
      </c>
      <c r="E31" s="25" t="inlineStr">
        <is>
          <t>Candidates</t>
        </is>
      </c>
      <c r="F31" s="25" t="inlineStr">
        <is>
          <t>Candidate detail page + pipeline age / candidate RAG</t>
        </is>
      </c>
      <c r="G31" s="25" t="inlineStr">
        <is>
          <t>Aging &amp; risk</t>
        </is>
      </c>
      <c r="H31" s="25" t="inlineStr">
        <is>
          <t>E4 / FR-CAN-08</t>
        </is>
      </c>
      <c r="I31" s="24" t="inlineStr">
        <is>
          <t>Not Started</t>
        </is>
      </c>
      <c r="J31" s="26" t="n">
        <v>0</v>
      </c>
      <c r="K31" s="25" t="inlineStr"/>
      <c r="L31" s="25" t="inlineStr"/>
    </row>
    <row r="32" ht="36" customHeight="1">
      <c r="A32" s="27" t="inlineStr">
        <is>
          <t>S4</t>
        </is>
      </c>
      <c r="B32" s="27" t="inlineStr">
        <is>
          <t>T-R2</t>
        </is>
      </c>
      <c r="C32" s="28" t="inlineStr">
        <is>
          <t>Rohit</t>
        </is>
      </c>
      <c r="D32" s="27" t="inlineStr">
        <is>
          <t>TA</t>
        </is>
      </c>
      <c r="E32" s="28" t="inlineStr">
        <is>
          <t>Candidates</t>
        </is>
      </c>
      <c r="F32" s="28" t="inlineStr">
        <is>
          <t>Select candidate (Selected = Yes) with business rules</t>
        </is>
      </c>
      <c r="G32" s="28" t="inlineStr">
        <is>
          <t>Selection gate</t>
        </is>
      </c>
      <c r="H32" s="28" t="inlineStr">
        <is>
          <t>E4-S4 / FR-CAN-05</t>
        </is>
      </c>
      <c r="I32" s="27" t="inlineStr">
        <is>
          <t>Not Started</t>
        </is>
      </c>
      <c r="J32" s="29" t="n">
        <v>0</v>
      </c>
      <c r="K32" s="28" t="inlineStr"/>
      <c r="L32" s="28" t="inlineStr"/>
    </row>
    <row r="33" ht="36" customHeight="1">
      <c r="A33" s="24" t="inlineStr">
        <is>
          <t>S4</t>
        </is>
      </c>
      <c r="B33" s="24" t="inlineStr">
        <is>
          <t>A-6</t>
        </is>
      </c>
      <c r="C33" s="25" t="inlineStr">
        <is>
          <t>Harsh</t>
        </is>
      </c>
      <c r="D33" s="24" t="inlineStr">
        <is>
          <t>Admin</t>
        </is>
      </c>
      <c r="E33" s="25" t="inlineStr">
        <is>
          <t>Admin</t>
        </is>
      </c>
      <c r="F33" s="25" t="inlineStr">
        <is>
          <t>Audit log write on mutations + Admin audit viewer</t>
        </is>
      </c>
      <c r="G33" s="25" t="inlineStr">
        <is>
          <t>Who changed what</t>
        </is>
      </c>
      <c r="H33" s="25" t="inlineStr">
        <is>
          <t>E8-S1/S2 / FR-AUD</t>
        </is>
      </c>
      <c r="I33" s="24" t="inlineStr">
        <is>
          <t>Not Started</t>
        </is>
      </c>
      <c r="J33" s="26" t="n">
        <v>0</v>
      </c>
      <c r="K33" s="25" t="inlineStr"/>
      <c r="L33" s="25" t="inlineStr"/>
    </row>
    <row r="34" ht="36" customHeight="1">
      <c r="A34" s="27" t="inlineStr">
        <is>
          <t>S4</t>
        </is>
      </c>
      <c r="B34" s="27" t="inlineStr">
        <is>
          <t>D-S3</t>
        </is>
      </c>
      <c r="C34" s="28" t="inlineStr">
        <is>
          <t>Saleena</t>
        </is>
      </c>
      <c r="D34" s="27" t="inlineStr">
        <is>
          <t>Dashboard</t>
        </is>
      </c>
      <c r="E34" s="28" t="inlineStr">
        <is>
          <t>Dashboard</t>
        </is>
      </c>
      <c r="F34" s="28" t="inlineStr">
        <is>
          <t>KPIs: pending handoff, pipeline, selected, offers, joined</t>
        </is>
      </c>
      <c r="G34" s="28" t="inlineStr">
        <is>
          <t>Funnel snapshot</t>
        </is>
      </c>
      <c r="H34" s="28" t="inlineStr">
        <is>
          <t>E7 / FR-DASH-02/03</t>
        </is>
      </c>
      <c r="I34" s="27" t="inlineStr">
        <is>
          <t>Not Started</t>
        </is>
      </c>
      <c r="J34" s="29" t="n">
        <v>0</v>
      </c>
      <c r="K34" s="28" t="inlineStr"/>
      <c r="L34" s="28" t="inlineStr"/>
    </row>
    <row r="35" ht="36" customHeight="1">
      <c r="A35" s="24" t="inlineStr">
        <is>
          <t>S4</t>
        </is>
      </c>
      <c r="B35" s="24" t="inlineStr">
        <is>
          <t>D-A2</t>
        </is>
      </c>
      <c r="C35" s="25" t="inlineStr">
        <is>
          <t>Akash</t>
        </is>
      </c>
      <c r="D35" s="24" t="inlineStr">
        <is>
          <t>Dashboard</t>
        </is>
      </c>
      <c r="E35" s="25" t="inlineStr">
        <is>
          <t>Dashboard</t>
        </is>
      </c>
      <c r="F35" s="25" t="inlineStr">
        <is>
          <t>Debounced refetch + URL query sync (shareable filters)</t>
        </is>
      </c>
      <c r="G35" s="25" t="inlineStr">
        <is>
          <t>Shareable leadership view</t>
        </is>
      </c>
      <c r="H35" s="25" t="inlineStr">
        <is>
          <t>E7-S3 / FR-DASH-07</t>
        </is>
      </c>
      <c r="I35" s="24" t="inlineStr">
        <is>
          <t>Not Started</t>
        </is>
      </c>
      <c r="J35" s="26" t="n">
        <v>0</v>
      </c>
      <c r="K35" s="25" t="inlineStr"/>
      <c r="L35" s="25" t="inlineStr"/>
    </row>
    <row r="36" ht="36" customHeight="1">
      <c r="A36" s="27" t="inlineStr">
        <is>
          <t>S4</t>
        </is>
      </c>
      <c r="B36" s="27" t="inlineStr">
        <is>
          <t>R-G3</t>
        </is>
      </c>
      <c r="C36" s="28" t="inlineStr">
        <is>
          <t>Gaurav</t>
        </is>
      </c>
      <c r="D36" s="27" t="inlineStr">
        <is>
          <t>Review</t>
        </is>
      </c>
      <c r="E36" s="28" t="inlineStr">
        <is>
          <t>Review</t>
        </is>
      </c>
      <c r="F36" s="28" t="inlineStr">
        <is>
          <t>Candidates + duplicates + select checklist vs FR-CAN</t>
        </is>
      </c>
      <c r="G36" s="28" t="inlineStr">
        <is>
          <t>TA module sign-off</t>
        </is>
      </c>
      <c r="H36" s="28" t="inlineStr">
        <is>
          <t>QA</t>
        </is>
      </c>
      <c r="I36" s="27" t="inlineStr">
        <is>
          <t>Not Started</t>
        </is>
      </c>
      <c r="J36" s="29" t="n">
        <v>0</v>
      </c>
      <c r="K36" s="28" t="inlineStr"/>
      <c r="L36" s="28" t="inlineStr"/>
    </row>
    <row r="37" ht="36" customHeight="1">
      <c r="A37" s="24" t="inlineStr">
        <is>
          <t>S5</t>
        </is>
      </c>
      <c r="B37" s="24" t="inlineStr">
        <is>
          <t>T-M6</t>
        </is>
      </c>
      <c r="C37" s="25" t="inlineStr">
        <is>
          <t>Mohit</t>
        </is>
      </c>
      <c r="D37" s="24" t="inlineStr">
        <is>
          <t>TA</t>
        </is>
      </c>
      <c r="E37" s="25" t="inlineStr">
        <is>
          <t>Candidates</t>
        </is>
      </c>
      <c r="F37" s="25" t="inlineStr">
        <is>
          <t>Duplicate mobile/email warning banner (with confirm)</t>
        </is>
      </c>
      <c r="G37" s="25" t="inlineStr">
        <is>
          <t>No silent duplicates</t>
        </is>
      </c>
      <c r="H37" s="25" t="inlineStr">
        <is>
          <t>E4-S3 / FR-CAN-06/07</t>
        </is>
      </c>
      <c r="I37" s="24" t="inlineStr">
        <is>
          <t>Not Started</t>
        </is>
      </c>
      <c r="J37" s="26" t="n">
        <v>0</v>
      </c>
      <c r="K37" s="25" t="inlineStr"/>
      <c r="L37" s="25" t="inlineStr"/>
    </row>
    <row r="38" ht="36" customHeight="1">
      <c r="A38" s="27" t="inlineStr">
        <is>
          <t>S5</t>
        </is>
      </c>
      <c r="B38" s="27" t="inlineStr">
        <is>
          <t>T-R3</t>
        </is>
      </c>
      <c r="C38" s="28" t="inlineStr">
        <is>
          <t>Rohit</t>
        </is>
      </c>
      <c r="D38" s="27" t="inlineStr">
        <is>
          <t>TA</t>
        </is>
      </c>
      <c r="E38" s="28" t="inlineStr">
        <is>
          <t>Offers</t>
        </is>
      </c>
      <c r="F38" s="28" t="inlineStr">
        <is>
          <t>Create offer from selected candidate (dates, CTC, DOJ, status)</t>
        </is>
      </c>
      <c r="G38" s="28" t="inlineStr">
        <is>
          <t>Offer initiated</t>
        </is>
      </c>
      <c r="H38" s="28" t="inlineStr">
        <is>
          <t>E5-S1 / FR-OFF-01</t>
        </is>
      </c>
      <c r="I38" s="27" t="inlineStr">
        <is>
          <t>Not Started</t>
        </is>
      </c>
      <c r="J38" s="29" t="n">
        <v>0</v>
      </c>
      <c r="K38" s="28" t="inlineStr"/>
      <c r="L38" s="28" t="inlineStr"/>
    </row>
    <row r="39" ht="36" customHeight="1">
      <c r="A39" s="24" t="inlineStr">
        <is>
          <t>S5</t>
        </is>
      </c>
      <c r="B39" s="24" t="inlineStr">
        <is>
          <t>T-R4</t>
        </is>
      </c>
      <c r="C39" s="25" t="inlineStr">
        <is>
          <t>Rohit</t>
        </is>
      </c>
      <c r="D39" s="24" t="inlineStr">
        <is>
          <t>TA</t>
        </is>
      </c>
      <c r="E39" s="25" t="inlineStr">
        <is>
          <t>Offers</t>
        </is>
      </c>
      <c r="F39" s="25" t="inlineStr">
        <is>
          <t>Offer list + detail; status Initiated → Released</t>
        </is>
      </c>
      <c r="G39" s="25" t="inlineStr">
        <is>
          <t>Offer tracker</t>
        </is>
      </c>
      <c r="H39" s="25" t="inlineStr">
        <is>
          <t>E5-S2 / FR-OFF-02</t>
        </is>
      </c>
      <c r="I39" s="24" t="inlineStr">
        <is>
          <t>Not Started</t>
        </is>
      </c>
      <c r="J39" s="26" t="n">
        <v>0</v>
      </c>
      <c r="K39" s="25" t="inlineStr"/>
      <c r="L39" s="25" t="inlineStr"/>
    </row>
    <row r="40" ht="36" customHeight="1">
      <c r="A40" s="27" t="inlineStr">
        <is>
          <t>S5</t>
        </is>
      </c>
      <c r="B40" s="27" t="inlineStr">
        <is>
          <t>H-S1</t>
        </is>
      </c>
      <c r="C40" s="28" t="inlineStr">
        <is>
          <t>Shalu</t>
        </is>
      </c>
      <c r="D40" s="27" t="inlineStr">
        <is>
          <t>HR</t>
        </is>
      </c>
      <c r="E40" s="28" t="inlineStr">
        <is>
          <t>Onboarding</t>
        </is>
      </c>
      <c r="F40" s="28" t="inlineStr">
        <is>
          <t>Onboarding list page</t>
        </is>
      </c>
      <c r="G40" s="28" t="inlineStr">
        <is>
          <t>Join pipeline visible</t>
        </is>
      </c>
      <c r="H40" s="28" t="inlineStr">
        <is>
          <t>E6 / FR-ONB</t>
        </is>
      </c>
      <c r="I40" s="27" t="inlineStr">
        <is>
          <t>Not Started</t>
        </is>
      </c>
      <c r="J40" s="29" t="n">
        <v>0</v>
      </c>
      <c r="K40" s="28" t="inlineStr"/>
      <c r="L40" s="28" t="inlineStr"/>
    </row>
    <row r="41" ht="36" customHeight="1">
      <c r="A41" s="24" t="inlineStr">
        <is>
          <t>S5</t>
        </is>
      </c>
      <c r="B41" s="24" t="inlineStr">
        <is>
          <t>H-S2</t>
        </is>
      </c>
      <c r="C41" s="25" t="inlineStr">
        <is>
          <t>Shalu</t>
        </is>
      </c>
      <c r="D41" s="24" t="inlineStr">
        <is>
          <t>HR</t>
        </is>
      </c>
      <c r="E41" s="25" t="inlineStr">
        <is>
          <t>Onboarding</t>
        </is>
      </c>
      <c r="F41" s="25" t="inlineStr">
        <is>
          <t>Create onboarding from accepted offer + assign HR owner</t>
        </is>
      </c>
      <c r="G41" s="25" t="inlineStr">
        <is>
          <t>HR takes ownership</t>
        </is>
      </c>
      <c r="H41" s="25" t="inlineStr">
        <is>
          <t>E6-S1 / FR-ONB-01/02</t>
        </is>
      </c>
      <c r="I41" s="24" t="inlineStr">
        <is>
          <t>Not Started</t>
        </is>
      </c>
      <c r="J41" s="26" t="n">
        <v>0</v>
      </c>
      <c r="K41" s="25" t="inlineStr"/>
      <c r="L41" s="25" t="inlineStr"/>
    </row>
    <row r="42" ht="36" customHeight="1">
      <c r="A42" s="27" t="inlineStr">
        <is>
          <t>S5</t>
        </is>
      </c>
      <c r="B42" s="27" t="inlineStr">
        <is>
          <t>A-H</t>
        </is>
      </c>
      <c r="C42" s="28" t="inlineStr">
        <is>
          <t>Harsh</t>
        </is>
      </c>
      <c r="D42" s="27" t="inlineStr">
        <is>
          <t>HR</t>
        </is>
      </c>
      <c r="E42" s="28" t="inlineStr">
        <is>
          <t>HR support</t>
        </is>
      </c>
      <c r="F42" s="28" t="inlineStr">
        <is>
          <t>Pair on onboarding RBAC / Joined position logic</t>
        </is>
      </c>
      <c r="G42" s="28" t="inlineStr">
        <is>
          <t>HR rules enforced server-side</t>
        </is>
      </c>
      <c r="H42" s="28" t="inlineStr">
        <is>
          <t>E6 / FR-ONB-06</t>
        </is>
      </c>
      <c r="I42" s="27" t="inlineStr">
        <is>
          <t>Not Started</t>
        </is>
      </c>
      <c r="J42" s="29" t="n">
        <v>0</v>
      </c>
      <c r="K42" s="28" t="inlineStr"/>
      <c r="L42" s="28" t="inlineStr"/>
    </row>
    <row r="43" ht="36" customHeight="1">
      <c r="A43" s="24" t="inlineStr">
        <is>
          <t>S5</t>
        </is>
      </c>
      <c r="B43" s="24" t="inlineStr">
        <is>
          <t>D-S4</t>
        </is>
      </c>
      <c r="C43" s="25" t="inlineStr">
        <is>
          <t>Saleena</t>
        </is>
      </c>
      <c r="D43" s="24" t="inlineStr">
        <is>
          <t>Dashboard</t>
        </is>
      </c>
      <c r="E43" s="25" t="inlineStr">
        <is>
          <t>Dashboard</t>
        </is>
      </c>
      <c r="F43" s="25" t="inlineStr">
        <is>
          <t>Duplicate mobiles count card</t>
        </is>
      </c>
      <c r="G43" s="25" t="inlineStr">
        <is>
          <t>Data quality KPI</t>
        </is>
      </c>
      <c r="H43" s="25" t="inlineStr">
        <is>
          <t>E7 / FR-DASH-04</t>
        </is>
      </c>
      <c r="I43" s="24" t="inlineStr">
        <is>
          <t>Not Started</t>
        </is>
      </c>
      <c r="J43" s="26" t="n">
        <v>0</v>
      </c>
      <c r="K43" s="25" t="inlineStr"/>
      <c r="L43" s="25" t="inlineStr"/>
    </row>
    <row r="44" ht="36" customHeight="1">
      <c r="A44" s="27" t="inlineStr">
        <is>
          <t>S5</t>
        </is>
      </c>
      <c r="B44" s="27" t="inlineStr">
        <is>
          <t>D-A3</t>
        </is>
      </c>
      <c r="C44" s="28" t="inlineStr">
        <is>
          <t>Akash</t>
        </is>
      </c>
      <c r="D44" s="27" t="inlineStr">
        <is>
          <t>Dashboard</t>
        </is>
      </c>
      <c r="E44" s="28" t="inlineStr">
        <is>
          <t>Dashboard</t>
        </is>
      </c>
      <c r="F44" s="28" t="inlineStr">
        <is>
          <t>Escalations / RED items list</t>
        </is>
      </c>
      <c r="G44" s="28" t="inlineStr">
        <is>
          <t>What needs attention today</t>
        </is>
      </c>
      <c r="H44" s="28" t="inlineStr">
        <is>
          <t>E7 / FR-DASH-09</t>
        </is>
      </c>
      <c r="I44" s="27" t="inlineStr">
        <is>
          <t>Not Started</t>
        </is>
      </c>
      <c r="J44" s="29" t="n">
        <v>0</v>
      </c>
      <c r="K44" s="28" t="inlineStr"/>
      <c r="L44" s="28" t="inlineStr"/>
    </row>
    <row r="45" ht="36" customHeight="1">
      <c r="A45" s="24" t="inlineStr">
        <is>
          <t>S6</t>
        </is>
      </c>
      <c r="B45" s="24" t="inlineStr">
        <is>
          <t>T-R5</t>
        </is>
      </c>
      <c r="C45" s="25" t="inlineStr">
        <is>
          <t>Rohit</t>
        </is>
      </c>
      <c r="D45" s="24" t="inlineStr">
        <is>
          <t>TA</t>
        </is>
      </c>
      <c r="E45" s="25" t="inlineStr">
        <is>
          <t>Offers</t>
        </is>
      </c>
      <c r="F45" s="25" t="inlineStr">
        <is>
          <t>Offer TAT / RAG + block invalid/conflicting offers</t>
        </is>
      </c>
      <c r="G45" s="25" t="inlineStr">
        <is>
          <t>Offer SLA &amp; rules</t>
        </is>
      </c>
      <c r="H45" s="25" t="inlineStr">
        <is>
          <t>E5-S3 / FR-OFF-04/06</t>
        </is>
      </c>
      <c r="I45" s="24" t="inlineStr">
        <is>
          <t>Not Started</t>
        </is>
      </c>
      <c r="J45" s="26" t="n">
        <v>0</v>
      </c>
      <c r="K45" s="25" t="inlineStr"/>
      <c r="L45" s="25" t="inlineStr"/>
    </row>
    <row r="46" ht="36" customHeight="1">
      <c r="A46" s="27" t="inlineStr">
        <is>
          <t>S6</t>
        </is>
      </c>
      <c r="B46" s="27" t="inlineStr">
        <is>
          <t>T-R6</t>
        </is>
      </c>
      <c r="C46" s="28" t="inlineStr">
        <is>
          <t>Rohit</t>
        </is>
      </c>
      <c r="D46" s="27" t="inlineStr">
        <is>
          <t>TA</t>
        </is>
      </c>
      <c r="E46" s="28" t="inlineStr">
        <is>
          <t>Offers</t>
        </is>
      </c>
      <c r="F46" s="28" t="inlineStr">
        <is>
          <t>CTA: Accepted → Start onboarding (hand to HR)</t>
        </is>
      </c>
      <c r="G46" s="28" t="inlineStr">
        <is>
          <t>Clean TA → HR handoff</t>
        </is>
      </c>
      <c r="H46" s="28" t="inlineStr">
        <is>
          <t>E5 / FR-OFF-05</t>
        </is>
      </c>
      <c r="I46" s="27" t="inlineStr">
        <is>
          <t>Not Started</t>
        </is>
      </c>
      <c r="J46" s="29" t="n">
        <v>0</v>
      </c>
      <c r="K46" s="28" t="inlineStr"/>
      <c r="L46" s="28" t="inlineStr"/>
    </row>
    <row r="47" ht="36" customHeight="1">
      <c r="A47" s="24" t="inlineStr">
        <is>
          <t>S6</t>
        </is>
      </c>
      <c r="B47" s="24" t="inlineStr">
        <is>
          <t>H-S3</t>
        </is>
      </c>
      <c r="C47" s="25" t="inlineStr">
        <is>
          <t>Shalu</t>
        </is>
      </c>
      <c r="D47" s="24" t="inlineStr">
        <is>
          <t>HR</t>
        </is>
      </c>
      <c r="E47" s="25" t="inlineStr">
        <is>
          <t>Onboarding</t>
        </is>
      </c>
      <c r="F47" s="25" t="inlineStr">
        <is>
          <t>Track docs pending, BGV status, joining formalities</t>
        </is>
      </c>
      <c r="G47" s="25" t="inlineStr">
        <is>
          <t>Pre-join checklist</t>
        </is>
      </c>
      <c r="H47" s="25" t="inlineStr">
        <is>
          <t>E6-S2 / FR-ONB-03</t>
        </is>
      </c>
      <c r="I47" s="24" t="inlineStr">
        <is>
          <t>Not Started</t>
        </is>
      </c>
      <c r="J47" s="26" t="n">
        <v>0</v>
      </c>
      <c r="K47" s="25" t="inlineStr"/>
      <c r="L47" s="25" t="inlineStr"/>
    </row>
    <row r="48" ht="36" customHeight="1">
      <c r="A48" s="27" t="inlineStr">
        <is>
          <t>S6</t>
        </is>
      </c>
      <c r="B48" s="27" t="inlineStr">
        <is>
          <t>H-S4</t>
        </is>
      </c>
      <c r="C48" s="28" t="inlineStr">
        <is>
          <t>Shalu</t>
        </is>
      </c>
      <c r="D48" s="27" t="inlineStr">
        <is>
          <t>HR</t>
        </is>
      </c>
      <c r="E48" s="28" t="inlineStr">
        <is>
          <t>Onboarding</t>
        </is>
      </c>
      <c r="F48" s="28" t="inlineStr">
        <is>
          <t>Expected/actual DOJ + onboarding status flow</t>
        </is>
      </c>
      <c r="G48" s="28" t="inlineStr">
        <is>
          <t>Docs → BGV → formalities → Joined</t>
        </is>
      </c>
      <c r="H48" s="28" t="inlineStr">
        <is>
          <t>E6 / FR-ONB-04</t>
        </is>
      </c>
      <c r="I48" s="27" t="inlineStr">
        <is>
          <t>Not Started</t>
        </is>
      </c>
      <c r="J48" s="29" t="n">
        <v>0</v>
      </c>
      <c r="K48" s="28" t="inlineStr"/>
      <c r="L48" s="28" t="inlineStr"/>
    </row>
    <row r="49" ht="36" customHeight="1">
      <c r="A49" s="24" t="inlineStr">
        <is>
          <t>S6</t>
        </is>
      </c>
      <c r="B49" s="24" t="inlineStr">
        <is>
          <t>A-7a</t>
        </is>
      </c>
      <c r="C49" s="25" t="inlineStr">
        <is>
          <t>Harsh</t>
        </is>
      </c>
      <c r="D49" s="24" t="inlineStr">
        <is>
          <t>Admin</t>
        </is>
      </c>
      <c r="E49" s="25" t="inlineStr">
        <is>
          <t>Admin</t>
        </is>
      </c>
      <c r="F49" s="25" t="inlineStr">
        <is>
          <t>CSV import draft + audit viewer polish</t>
        </is>
      </c>
      <c r="G49" s="25" t="inlineStr">
        <is>
          <t>Excel migration path (draft)</t>
        </is>
      </c>
      <c r="H49" s="25" t="inlineStr">
        <is>
          <t>E8 / FR-IMP</t>
        </is>
      </c>
      <c r="I49" s="24" t="inlineStr">
        <is>
          <t>Not Started</t>
        </is>
      </c>
      <c r="J49" s="26" t="n">
        <v>0</v>
      </c>
      <c r="K49" s="25" t="inlineStr"/>
      <c r="L49" s="25" t="inlineStr"/>
    </row>
    <row r="50" ht="36" customHeight="1">
      <c r="A50" s="27" t="inlineStr">
        <is>
          <t>S6</t>
        </is>
      </c>
      <c r="B50" s="27" t="inlineStr">
        <is>
          <t>D-S5</t>
        </is>
      </c>
      <c r="C50" s="28" t="inlineStr">
        <is>
          <t>Saleena</t>
        </is>
      </c>
      <c r="D50" s="27" t="inlineStr">
        <is>
          <t>Dashboard</t>
        </is>
      </c>
      <c r="E50" s="28" t="inlineStr">
        <is>
          <t>Dashboard</t>
        </is>
      </c>
      <c r="F50" s="28" t="inlineStr">
        <is>
          <t>Candidate stage summary table</t>
        </is>
      </c>
      <c r="G50" s="28" t="inlineStr">
        <is>
          <t>Where candidates sit</t>
        </is>
      </c>
      <c r="H50" s="28" t="inlineStr">
        <is>
          <t>E7-S2 / FR-DASH-05</t>
        </is>
      </c>
      <c r="I50" s="27" t="inlineStr">
        <is>
          <t>Not Started</t>
        </is>
      </c>
      <c r="J50" s="29" t="n">
        <v>0</v>
      </c>
      <c r="K50" s="28" t="inlineStr"/>
      <c r="L50" s="28" t="inlineStr"/>
    </row>
    <row r="51" ht="36" customHeight="1">
      <c r="A51" s="24" t="inlineStr">
        <is>
          <t>S6</t>
        </is>
      </c>
      <c r="B51" s="24" t="inlineStr">
        <is>
          <t>D-A4</t>
        </is>
      </c>
      <c r="C51" s="25" t="inlineStr">
        <is>
          <t>Akash</t>
        </is>
      </c>
      <c r="D51" s="24" t="inlineStr">
        <is>
          <t>Dashboard</t>
        </is>
      </c>
      <c r="E51" s="25" t="inlineStr">
        <is>
          <t>Dashboard</t>
        </is>
      </c>
      <c r="F51" s="25" t="inlineStr">
        <is>
          <t>Align API aggregations with Excel KPI definitions</t>
        </is>
      </c>
      <c r="G51" s="25" t="inlineStr">
        <is>
          <t>Parity with workbook</t>
        </is>
      </c>
      <c r="H51" s="25" t="inlineStr">
        <is>
          <t>E7 / FR-DASH</t>
        </is>
      </c>
      <c r="I51" s="24" t="inlineStr">
        <is>
          <t>Not Started</t>
        </is>
      </c>
      <c r="J51" s="26" t="n">
        <v>0</v>
      </c>
      <c r="K51" s="25" t="inlineStr"/>
      <c r="L51" s="25" t="inlineStr"/>
    </row>
    <row r="52" ht="36" customHeight="1">
      <c r="A52" s="27" t="inlineStr">
        <is>
          <t>S6</t>
        </is>
      </c>
      <c r="B52" s="27" t="inlineStr">
        <is>
          <t>R-G4</t>
        </is>
      </c>
      <c r="C52" s="28" t="inlineStr">
        <is>
          <t>Gaurav</t>
        </is>
      </c>
      <c r="D52" s="27" t="inlineStr">
        <is>
          <t>Review</t>
        </is>
      </c>
      <c r="E52" s="28" t="inlineStr">
        <is>
          <t>Review</t>
        </is>
      </c>
      <c r="F52" s="28" t="inlineStr">
        <is>
          <t>Offer → onboarding → Joined E2E checklist</t>
        </is>
      </c>
      <c r="G52" s="28" t="inlineStr">
        <is>
          <t>End-to-end hire path</t>
        </is>
      </c>
      <c r="H52" s="28" t="inlineStr">
        <is>
          <t>QA</t>
        </is>
      </c>
      <c r="I52" s="27" t="inlineStr">
        <is>
          <t>Not Started</t>
        </is>
      </c>
      <c r="J52" s="29" t="n">
        <v>0</v>
      </c>
      <c r="K52" s="28" t="inlineStr"/>
      <c r="L52" s="28" t="inlineStr"/>
    </row>
    <row r="53" ht="36" customHeight="1">
      <c r="A53" s="24" t="inlineStr">
        <is>
          <t>S7</t>
        </is>
      </c>
      <c r="B53" s="24" t="inlineStr">
        <is>
          <t>H-S5</t>
        </is>
      </c>
      <c r="C53" s="25" t="inlineStr">
        <is>
          <t>Shalu</t>
        </is>
      </c>
      <c r="D53" s="24" t="inlineStr">
        <is>
          <t>HR</t>
        </is>
      </c>
      <c r="E53" s="25" t="inlineStr">
        <is>
          <t>Onboarding</t>
        </is>
      </c>
      <c r="F53" s="25" t="inlineStr">
        <is>
          <t>Mark Joined → closed positions update on requirement</t>
        </is>
      </c>
      <c r="G53" s="25" t="inlineStr">
        <is>
          <t>Fill rate updates live</t>
        </is>
      </c>
      <c r="H53" s="25" t="inlineStr">
        <is>
          <t>E6-S3 / FR-ONB-04/06</t>
        </is>
      </c>
      <c r="I53" s="24" t="inlineStr">
        <is>
          <t>Not Started</t>
        </is>
      </c>
      <c r="J53" s="26" t="n">
        <v>0</v>
      </c>
      <c r="K53" s="25" t="inlineStr"/>
      <c r="L53" s="25" t="inlineStr"/>
    </row>
    <row r="54" ht="36" customHeight="1">
      <c r="A54" s="27" t="inlineStr">
        <is>
          <t>S7</t>
        </is>
      </c>
      <c r="B54" s="27" t="inlineStr">
        <is>
          <t>H-S6</t>
        </is>
      </c>
      <c r="C54" s="28" t="inlineStr">
        <is>
          <t>Shalu</t>
        </is>
      </c>
      <c r="D54" s="27" t="inlineStr">
        <is>
          <t>HR</t>
        </is>
      </c>
      <c r="E54" s="28" t="inlineStr">
        <is>
          <t>Onboarding</t>
        </is>
      </c>
      <c r="F54" s="28" t="inlineStr">
        <is>
          <t>Onboarding TAT / RAG + cancel path if offer withdrawn</t>
        </is>
      </c>
      <c r="G54" s="28" t="inlineStr">
        <is>
          <t>Exception handling</t>
        </is>
      </c>
      <c r="H54" s="28" t="inlineStr">
        <is>
          <t>E6 / FR-ONB-05</t>
        </is>
      </c>
      <c r="I54" s="27" t="inlineStr">
        <is>
          <t>Not Started</t>
        </is>
      </c>
      <c r="J54" s="29" t="n">
        <v>0</v>
      </c>
      <c r="K54" s="28" t="inlineStr"/>
      <c r="L54" s="28" t="inlineStr"/>
    </row>
    <row r="55" ht="36" customHeight="1">
      <c r="A55" s="24" t="inlineStr">
        <is>
          <t>S7</t>
        </is>
      </c>
      <c r="B55" s="24" t="inlineStr">
        <is>
          <t>A-7</t>
        </is>
      </c>
      <c r="C55" s="25" t="inlineStr">
        <is>
          <t>Harsh</t>
        </is>
      </c>
      <c r="D55" s="24" t="inlineStr">
        <is>
          <t>Admin</t>
        </is>
      </c>
      <c r="E55" s="25" t="inlineStr">
        <is>
          <t>Admin</t>
        </is>
      </c>
      <c r="F55" s="25" t="inlineStr">
        <is>
          <t>CSV import validate → commit (reqs/candidates)</t>
        </is>
      </c>
      <c r="G55" s="25" t="inlineStr">
        <is>
          <t>Excel migration path</t>
        </is>
      </c>
      <c r="H55" s="25" t="inlineStr">
        <is>
          <t>E8-S3 / FR-IMP-01/03</t>
        </is>
      </c>
      <c r="I55" s="24" t="inlineStr">
        <is>
          <t>Not Started</t>
        </is>
      </c>
      <c r="J55" s="26" t="n">
        <v>0</v>
      </c>
      <c r="K55" s="25" t="inlineStr"/>
      <c r="L55" s="25" t="inlineStr"/>
    </row>
    <row r="56" ht="36" customHeight="1">
      <c r="A56" s="27" t="inlineStr">
        <is>
          <t>S7</t>
        </is>
      </c>
      <c r="B56" s="27" t="inlineStr">
        <is>
          <t>D-S6</t>
        </is>
      </c>
      <c r="C56" s="28" t="inlineStr">
        <is>
          <t>Saleena</t>
        </is>
      </c>
      <c r="D56" s="27" t="inlineStr">
        <is>
          <t>Dashboard</t>
        </is>
      </c>
      <c r="E56" s="28" t="inlineStr">
        <is>
          <t>Dashboard</t>
        </is>
      </c>
      <c r="F56" s="28" t="inlineStr">
        <is>
          <t>Requirement RAG summary + empty-state polish</t>
        </is>
      </c>
      <c r="G56" s="28" t="inlineStr">
        <is>
          <t>SLA health</t>
        </is>
      </c>
      <c r="H56" s="28" t="inlineStr">
        <is>
          <t>E7-S2 / FR-DASH-06</t>
        </is>
      </c>
      <c r="I56" s="27" t="inlineStr">
        <is>
          <t>Not Started</t>
        </is>
      </c>
      <c r="J56" s="29" t="n">
        <v>0</v>
      </c>
      <c r="K56" s="28" t="inlineStr"/>
      <c r="L56" s="28" t="inlineStr"/>
    </row>
    <row r="57" ht="36" customHeight="1">
      <c r="A57" s="24" t="inlineStr">
        <is>
          <t>S7</t>
        </is>
      </c>
      <c r="B57" s="24" t="inlineStr">
        <is>
          <t>R-G5</t>
        </is>
      </c>
      <c r="C57" s="25" t="inlineStr">
        <is>
          <t>Gaurav</t>
        </is>
      </c>
      <c r="D57" s="24" t="inlineStr">
        <is>
          <t>Review</t>
        </is>
      </c>
      <c r="E57" s="25" t="inlineStr">
        <is>
          <t>Review</t>
        </is>
      </c>
      <c r="F57" s="25" t="inlineStr">
        <is>
          <t>Dashboard KPI vs Excel sample + regression pass</t>
        </is>
      </c>
      <c r="G57" s="25" t="inlineStr">
        <is>
          <t>Leadership confidence</t>
        </is>
      </c>
      <c r="H57" s="25" t="inlineStr">
        <is>
          <t>QA</t>
        </is>
      </c>
      <c r="I57" s="24" t="inlineStr">
        <is>
          <t>Not Started</t>
        </is>
      </c>
      <c r="J57" s="26" t="n">
        <v>0</v>
      </c>
      <c r="K57" s="25" t="inlineStr"/>
      <c r="L57" s="25" t="inlineStr"/>
    </row>
    <row r="58" ht="36" customHeight="1">
      <c r="A58" s="27" t="inlineStr">
        <is>
          <t>S8</t>
        </is>
      </c>
      <c r="B58" s="27" t="inlineStr">
        <is>
          <t>ALL-1</t>
        </is>
      </c>
      <c r="C58" s="28" t="inlineStr">
        <is>
          <t>All owners</t>
        </is>
      </c>
      <c r="D58" s="27" t="inlineStr">
        <is>
          <t>All</t>
        </is>
      </c>
      <c r="E58" s="28" t="inlineStr">
        <is>
          <t>Hardening</t>
        </is>
      </c>
      <c r="F58" s="28" t="inlineStr">
        <is>
          <t>Bug bash on own module</t>
        </is>
      </c>
      <c r="G58" s="28" t="inlineStr">
        <is>
          <t>Quality pass</t>
        </is>
      </c>
      <c r="H58" s="28" t="inlineStr">
        <is>
          <t>M4</t>
        </is>
      </c>
      <c r="I58" s="27" t="inlineStr">
        <is>
          <t>Not Started</t>
        </is>
      </c>
      <c r="J58" s="29" t="n">
        <v>0</v>
      </c>
      <c r="K58" s="28" t="inlineStr"/>
      <c r="L58" s="28" t="inlineStr"/>
    </row>
    <row r="59" ht="36" customHeight="1">
      <c r="A59" s="24" t="inlineStr">
        <is>
          <t>S8</t>
        </is>
      </c>
      <c r="B59" s="24" t="inlineStr">
        <is>
          <t>R-G5b</t>
        </is>
      </c>
      <c r="C59" s="25" t="inlineStr">
        <is>
          <t>Akash &amp; Gaurav</t>
        </is>
      </c>
      <c r="D59" s="24" t="inlineStr">
        <is>
          <t>Review</t>
        </is>
      </c>
      <c r="E59" s="25" t="inlineStr">
        <is>
          <t>Review</t>
        </is>
      </c>
      <c r="F59" s="25" t="inlineStr">
        <is>
          <t>Full regression + final demo script</t>
        </is>
      </c>
      <c r="G59" s="25" t="inlineStr">
        <is>
          <t>Manager showcase ready</t>
        </is>
      </c>
      <c r="H59" s="25" t="inlineStr">
        <is>
          <t>QA</t>
        </is>
      </c>
      <c r="I59" s="24" t="inlineStr">
        <is>
          <t>Not Started</t>
        </is>
      </c>
      <c r="J59" s="26" t="n">
        <v>0</v>
      </c>
      <c r="K59" s="25" t="inlineStr"/>
      <c r="L59" s="25" t="inlineStr"/>
    </row>
    <row r="60" ht="36" customHeight="1">
      <c r="A60" s="27" t="inlineStr">
        <is>
          <t>S8</t>
        </is>
      </c>
      <c r="B60" s="27" t="inlineStr">
        <is>
          <t>A-8</t>
        </is>
      </c>
      <c r="C60" s="28" t="inlineStr">
        <is>
          <t>Harsh</t>
        </is>
      </c>
      <c r="D60" s="27" t="inlineStr">
        <is>
          <t>Admin</t>
        </is>
      </c>
      <c r="E60" s="28" t="inlineStr">
        <is>
          <t>Admin</t>
        </is>
      </c>
      <c r="F60" s="28" t="inlineStr">
        <is>
          <t>Import final + audit polish</t>
        </is>
      </c>
      <c r="G60" s="28" t="inlineStr">
        <is>
          <t>Migration hardened</t>
        </is>
      </c>
      <c r="H60" s="28" t="inlineStr">
        <is>
          <t>E8</t>
        </is>
      </c>
      <c r="I60" s="27" t="inlineStr">
        <is>
          <t>Not Started</t>
        </is>
      </c>
      <c r="J60" s="29" t="n">
        <v>0</v>
      </c>
      <c r="K60" s="28" t="inlineStr"/>
      <c r="L60" s="28" t="inlineStr"/>
    </row>
    <row r="61" ht="36" customHeight="1">
      <c r="A61" s="24" t="inlineStr">
        <is>
          <t>S8</t>
        </is>
      </c>
      <c r="B61" s="24" t="inlineStr">
        <is>
          <t>D-S7</t>
        </is>
      </c>
      <c r="C61" s="25" t="inlineStr">
        <is>
          <t>Saleena &amp; Akash</t>
        </is>
      </c>
      <c r="D61" s="24" t="inlineStr">
        <is>
          <t>Dashboard</t>
        </is>
      </c>
      <c r="E61" s="25" t="inlineStr">
        <is>
          <t>Dashboard</t>
        </is>
      </c>
      <c r="F61" s="25" t="inlineStr">
        <is>
          <t>Empty/error polish on dashboard</t>
        </is>
      </c>
      <c r="G61" s="25" t="inlineStr">
        <is>
          <t>Leadership-ready UI</t>
        </is>
      </c>
      <c r="H61" s="25" t="inlineStr">
        <is>
          <t>E7</t>
        </is>
      </c>
      <c r="I61" s="24" t="inlineStr">
        <is>
          <t>Not Started</t>
        </is>
      </c>
      <c r="J61" s="26" t="n">
        <v>0</v>
      </c>
      <c r="K61" s="25" t="inlineStr"/>
      <c r="L61" s="25" t="inlineStr"/>
    </row>
    <row r="62" ht="36" customHeight="1">
      <c r="A62" s="27" t="inlineStr">
        <is>
          <t>S8</t>
        </is>
      </c>
      <c r="B62" s="27" t="inlineStr">
        <is>
          <t>R-G6</t>
        </is>
      </c>
      <c r="C62" s="28" t="inlineStr">
        <is>
          <t>Gaurav</t>
        </is>
      </c>
      <c r="D62" s="27" t="inlineStr">
        <is>
          <t>Review</t>
        </is>
      </c>
      <c r="E62" s="28" t="inlineStr">
        <is>
          <t>Review</t>
        </is>
      </c>
      <c r="F62" s="28" t="inlineStr">
        <is>
          <t>Bug triage board (blocker / major / minor)</t>
        </is>
      </c>
      <c r="G62" s="28" t="inlineStr">
        <is>
          <t>Transparent quality status</t>
        </is>
      </c>
      <c r="H62" s="28" t="inlineStr">
        <is>
          <t>QA</t>
        </is>
      </c>
      <c r="I62" s="27" t="inlineStr">
        <is>
          <t>Not Started</t>
        </is>
      </c>
      <c r="J62" s="29" t="n">
        <v>0</v>
      </c>
      <c r="K62" s="28" t="inlineStr"/>
      <c r="L62" s="28" t="inlineStr"/>
    </row>
    <row r="63" ht="36" customHeight="1">
      <c r="A63" s="24" t="inlineStr">
        <is>
          <t>Every</t>
        </is>
      </c>
      <c r="B63" s="24" t="inlineStr">
        <is>
          <t>R-A2</t>
        </is>
      </c>
      <c r="C63" s="25" t="inlineStr">
        <is>
          <t>Akash</t>
        </is>
      </c>
      <c r="D63" s="24" t="inlineStr">
        <is>
          <t>Review</t>
        </is>
      </c>
      <c r="E63" s="25" t="inlineStr">
        <is>
          <t>Review</t>
        </is>
      </c>
      <c r="F63" s="25" t="inlineStr">
        <is>
          <t>Smoke test critical path for merged PRs</t>
        </is>
      </c>
      <c r="G63" s="25" t="inlineStr">
        <is>
          <t>Nothing broken before demo</t>
        </is>
      </c>
      <c r="H63" s="25" t="inlineStr">
        <is>
          <t>QA</t>
        </is>
      </c>
      <c r="I63" s="24" t="inlineStr">
        <is>
          <t>Not Started</t>
        </is>
      </c>
      <c r="J63" s="26" t="n">
        <v>0</v>
      </c>
      <c r="K63" s="25" t="inlineStr"/>
      <c r="L63" s="25" t="inlineStr"/>
    </row>
  </sheetData>
  <mergeCells count="2">
    <mergeCell ref="A2:L2"/>
    <mergeCell ref="A1:L1"/>
  </mergeCells>
  <conditionalFormatting sqref="I7:I63">
    <cfRule type="expression" priority="1" dxfId="0">
      <formula>$I7="Done"</formula>
    </cfRule>
    <cfRule type="expression" priority="2" dxfId="1">
      <formula>$I7="In Progress"</formula>
    </cfRule>
    <cfRule type="expression" priority="3" dxfId="2">
      <formula>$I7="Blocked"</formula>
    </cfRule>
    <cfRule type="expression" priority="4" dxfId="3">
      <formula>$I7="In Review"</formula>
    </cfRule>
    <cfRule type="expression" priority="5" dxfId="4">
      <formula>$I7="Not Started"</formula>
    </cfRule>
  </conditionalFormatting>
  <dataValidations count="3">
    <dataValidation sqref="I7:I63" showDropDown="0" showInputMessage="0" showErrorMessage="0" allowBlank="1" errorTitle="Invalid Status" error="Pick a valid status" type="list">
      <formula1>"Not Started,In Progress,Blocked,In Review,Done"</formula1>
    </dataValidation>
    <dataValidation sqref="C7:C63" showDropDown="0" showInputMessage="0" showErrorMessage="0" allowBlank="1" type="list">
      <formula1>"Ananya,Mohit,Rohit,Shalu,Harsh,Saleena,Akash,Gaurav,Saleena &amp; Akash,Akash &amp; Gaurav,Mohit &amp; Rohit,All owners"</formula1>
    </dataValidation>
    <dataValidation sqref="D7:D63" showDropDown="0" showInputMessage="0" showErrorMessage="0" allowBlank="1" type="list">
      <formula1>"Sales,TA,HR,Admin,Dashboard,Review,All"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48" customWidth="1" min="4" max="4"/>
    <col width="7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 ht="28" customHeight="1">
      <c r="B2" s="30" t="inlineStr">
        <is>
          <t>Sprint Boards — Focus &amp; Manager Demo</t>
        </is>
      </c>
    </row>
    <row r="4" ht="30" customHeight="1">
      <c r="B4" s="31" t="inlineStr">
        <is>
          <t>Sprint</t>
        </is>
      </c>
      <c r="C4" s="31" t="inlineStr">
        <is>
          <t>Theme</t>
        </is>
      </c>
      <c r="D4" s="31" t="inlineStr">
        <is>
          <t>Manager Demo</t>
        </is>
      </c>
      <c r="E4" s="31" t="inlineStr">
        <is>
          <t>Who Does What</t>
        </is>
      </c>
      <c r="F4" s="31" t="inlineStr">
        <is>
          <t>Total</t>
        </is>
      </c>
      <c r="G4" s="31" t="inlineStr">
        <is>
          <t>Done</t>
        </is>
      </c>
      <c r="H4" s="31" t="inlineStr">
        <is>
          <t>In Progress</t>
        </is>
      </c>
      <c r="I4" s="31" t="inlineStr">
        <is>
          <t>% Complete</t>
        </is>
      </c>
    </row>
    <row r="5" ht="48" customHeight="1">
      <c r="B5" s="32" t="inlineStr">
        <is>
          <t>S1</t>
        </is>
      </c>
      <c r="C5" s="32" t="inlineStr">
        <is>
          <t>Foundations</t>
        </is>
      </c>
      <c r="D5" s="32" t="inlineStr">
        <is>
          <t>Login → create requirement</t>
        </is>
      </c>
      <c r="E5" s="32" t="inlineStr">
        <is>
          <t>Harsh: Login, seeds, masters | Ananya: Req list+create | Saleena: Dashboard shell | Review: role test users</t>
        </is>
      </c>
      <c r="F5" s="33">
        <f>COUNTIF('Sprint Backlog'!$A$7:$A$63,B5)</f>
        <v/>
      </c>
      <c r="G5" s="33">
        <f>COUNTIFS('Sprint Backlog'!$A$7:$A$63,B5,'Sprint Backlog'!$I$7:$I$63,"Done")</f>
        <v/>
      </c>
      <c r="H5" s="33">
        <f>COUNTIFS('Sprint Backlog'!$A$7:$A$63,B5,'Sprint Backlog'!$I$7:$I$63,"In Progress")</f>
        <v/>
      </c>
      <c r="I5" s="34">
        <f>IF(F5=0,0,G5/F5)</f>
        <v/>
      </c>
    </row>
    <row r="6" ht="48" customHeight="1">
      <c r="B6" s="35" t="inlineStr">
        <is>
          <t>S2</t>
        </is>
      </c>
      <c r="C6" s="35" t="inlineStr">
        <is>
          <t>Sales + Admin usable</t>
        </is>
      </c>
      <c r="D6" s="35" t="inlineStr">
        <is>
          <t>Create user → client → req → assign TA</t>
        </is>
      </c>
      <c r="E6" s="35" t="inlineStr">
        <is>
          <t>Ananya: Detail/edit/TA assign | Harsh: Users/clients/JF | Mohit: Candidates list | Saleena: KPI layout</t>
        </is>
      </c>
      <c r="F6" s="33">
        <f>COUNTIF('Sprint Backlog'!$A$7:$A$63,B6)</f>
        <v/>
      </c>
      <c r="G6" s="33">
        <f>COUNTIFS('Sprint Backlog'!$A$7:$A$63,B6,'Sprint Backlog'!$I$7:$I$63,"Done")</f>
        <v/>
      </c>
      <c r="H6" s="33">
        <f>COUNTIFS('Sprint Backlog'!$A$7:$A$63,B6,'Sprint Backlog'!$I$7:$I$63,"In Progress")</f>
        <v/>
      </c>
      <c r="I6" s="34">
        <f>IF(F6=0,0,G6/F6)</f>
        <v/>
      </c>
    </row>
    <row r="7" ht="48" customHeight="1">
      <c r="B7" s="32" t="inlineStr">
        <is>
          <t>S3</t>
        </is>
      </c>
      <c r="C7" s="32" t="inlineStr">
        <is>
          <t>TA pipeline starts</t>
        </is>
      </c>
      <c r="D7" s="32" t="inlineStr">
        <is>
          <t>One req with 2–3 candidates moving stages</t>
        </is>
      </c>
      <c r="E7" s="32" t="inlineStr">
        <is>
          <t>Mohit: Add candidate/stages | Rohit: Validation | Ananya: Status+RAG | Dashboard: KPIs+filters</t>
        </is>
      </c>
      <c r="F7" s="33">
        <f>COUNTIF('Sprint Backlog'!$A$7:$A$63,B7)</f>
        <v/>
      </c>
      <c r="G7" s="33">
        <f>COUNTIFS('Sprint Backlog'!$A$7:$A$63,B7,'Sprint Backlog'!$I$7:$I$63,"Done")</f>
        <v/>
      </c>
      <c r="H7" s="33">
        <f>COUNTIFS('Sprint Backlog'!$A$7:$A$63,B7,'Sprint Backlog'!$I$7:$I$63,"In Progress")</f>
        <v/>
      </c>
      <c r="I7" s="34">
        <f>IF(F7=0,0,G7/F7)</f>
        <v/>
      </c>
    </row>
    <row r="8" ht="48" customHeight="1">
      <c r="B8" s="35" t="inlineStr">
        <is>
          <t>S4</t>
        </is>
      </c>
      <c r="C8" s="35" t="inlineStr">
        <is>
          <t>Selection quality</t>
        </is>
      </c>
      <c r="D8" s="35" t="inlineStr">
        <is>
          <t>Duplicate warning + select a candidate</t>
        </is>
      </c>
      <c r="E8" s="35" t="inlineStr">
        <is>
          <t>Mohit: Duplicates/detail | Rohit: Select | Harsh: Audit | Dashboard: funnel KPIs</t>
        </is>
      </c>
      <c r="F8" s="33">
        <f>COUNTIF('Sprint Backlog'!$A$7:$A$63,B8)</f>
        <v/>
      </c>
      <c r="G8" s="33">
        <f>COUNTIFS('Sprint Backlog'!$A$7:$A$63,B8,'Sprint Backlog'!$I$7:$I$63,"Done")</f>
        <v/>
      </c>
      <c r="H8" s="33">
        <f>COUNTIFS('Sprint Backlog'!$A$7:$A$63,B8,'Sprint Backlog'!$I$7:$I$63,"In Progress")</f>
        <v/>
      </c>
      <c r="I8" s="34">
        <f>IF(F8=0,0,G8/F8)</f>
        <v/>
      </c>
    </row>
    <row r="9" ht="48" customHeight="1">
      <c r="B9" s="32" t="inlineStr">
        <is>
          <t>S5</t>
        </is>
      </c>
      <c r="C9" s="32" t="inlineStr">
        <is>
          <t>Offers</t>
        </is>
      </c>
      <c r="D9" s="32" t="inlineStr">
        <is>
          <t>Selected → offer released → accepted</t>
        </is>
      </c>
      <c r="E9" s="32" t="inlineStr">
        <is>
          <t>Rohit: Offer CRUD | Shalu: Onboarding create | Harsh: HR RBAC help | Dashboard: offers KPIs</t>
        </is>
      </c>
      <c r="F9" s="33">
        <f>COUNTIF('Sprint Backlog'!$A$7:$A$63,B9)</f>
        <v/>
      </c>
      <c r="G9" s="33">
        <f>COUNTIFS('Sprint Backlog'!$A$7:$A$63,B9,'Sprint Backlog'!$I$7:$I$63,"Done")</f>
        <v/>
      </c>
      <c r="H9" s="33">
        <f>COUNTIFS('Sprint Backlog'!$A$7:$A$63,B9,'Sprint Backlog'!$I$7:$I$63,"In Progress")</f>
        <v/>
      </c>
      <c r="I9" s="34">
        <f>IF(F9=0,0,G9/F9)</f>
        <v/>
      </c>
    </row>
    <row r="10" ht="48" customHeight="1">
      <c r="B10" s="35" t="inlineStr">
        <is>
          <t>S6</t>
        </is>
      </c>
      <c r="C10" s="35" t="inlineStr">
        <is>
          <t>HR join path</t>
        </is>
      </c>
      <c r="D10" s="35" t="inlineStr">
        <is>
          <t>Accepted offer → Joined; positions closed</t>
        </is>
      </c>
      <c r="E10" s="35" t="inlineStr">
        <is>
          <t>Shalu: Docs/BGV/DOJ | Rohit: Offer RAG/CTA | Harsh: Import draft | Dashboard: stage/RAG</t>
        </is>
      </c>
      <c r="F10" s="33">
        <f>COUNTIF('Sprint Backlog'!$A$7:$A$63,B10)</f>
        <v/>
      </c>
      <c r="G10" s="33">
        <f>COUNTIFS('Sprint Backlog'!$A$7:$A$63,B10,'Sprint Backlog'!$I$7:$I$63,"Done")</f>
        <v/>
      </c>
      <c r="H10" s="33">
        <f>COUNTIFS('Sprint Backlog'!$A$7:$A$63,B10,'Sprint Backlog'!$I$7:$I$63,"In Progress")</f>
        <v/>
      </c>
      <c r="I10" s="34">
        <f>IF(F10=0,0,G10/F10)</f>
        <v/>
      </c>
    </row>
    <row r="11" ht="48" customHeight="1">
      <c r="B11" s="32" t="inlineStr">
        <is>
          <t>S7</t>
        </is>
      </c>
      <c r="C11" s="32" t="inlineStr">
        <is>
          <t>Dashboard parity</t>
        </is>
      </c>
      <c r="D11" s="32" t="inlineStr">
        <is>
          <t>Filter dashboard; RED escalations; CSV import</t>
        </is>
      </c>
      <c r="E11" s="32" t="inlineStr">
        <is>
          <t>Saleena/Akash: Full KPIs | Shalu: Onboarding RAG | Harsh: CSV import | Review: KPI vs Excel</t>
        </is>
      </c>
      <c r="F11" s="33">
        <f>COUNTIF('Sprint Backlog'!$A$7:$A$63,B11)</f>
        <v/>
      </c>
      <c r="G11" s="33">
        <f>COUNTIFS('Sprint Backlog'!$A$7:$A$63,B11,'Sprint Backlog'!$I$7:$I$63,"Done")</f>
        <v/>
      </c>
      <c r="H11" s="33">
        <f>COUNTIFS('Sprint Backlog'!$A$7:$A$63,B11,'Sprint Backlog'!$I$7:$I$63,"In Progress")</f>
        <v/>
      </c>
      <c r="I11" s="34">
        <f>IF(F11=0,0,G11/F11)</f>
        <v/>
      </c>
    </row>
    <row r="12" ht="48" customHeight="1">
      <c r="B12" s="35" t="inlineStr">
        <is>
          <t>S8</t>
        </is>
      </c>
      <c r="C12" s="35" t="inlineStr">
        <is>
          <t>Hardening &amp; showcase</t>
        </is>
      </c>
      <c r="D12" s="35" t="inlineStr">
        <is>
          <t>E2E: Sales → TA → Offer → HR → Dashboard</t>
        </is>
      </c>
      <c r="E12" s="35" t="inlineStr">
        <is>
          <t>All: Bug bash | Review: Regression | Harsh: Import final | Dashboard: polish</t>
        </is>
      </c>
      <c r="F12" s="33">
        <f>COUNTIF('Sprint Backlog'!$A$7:$A$63,B12)</f>
        <v/>
      </c>
      <c r="G12" s="33">
        <f>COUNTIFS('Sprint Backlog'!$A$7:$A$63,B12,'Sprint Backlog'!$I$7:$I$63,"Done")</f>
        <v/>
      </c>
      <c r="H12" s="33">
        <f>COUNTIFS('Sprint Backlog'!$A$7:$A$63,B12,'Sprint Backlog'!$I$7:$I$63,"In Progress")</f>
        <v/>
      </c>
      <c r="I12" s="34">
        <f>IF(F12=0,0,G12/F12)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 ht="28" customHeight="1">
      <c r="B2" s="30" t="inlineStr">
        <is>
          <t>Progress by Person</t>
        </is>
      </c>
    </row>
    <row r="4">
      <c r="B4" s="31" t="inlineStr">
        <is>
          <t>Person</t>
        </is>
      </c>
      <c r="C4" s="31" t="inlineStr">
        <is>
          <t>Primary Module</t>
        </is>
      </c>
      <c r="D4" s="31" t="inlineStr">
        <is>
          <t>Total Steps</t>
        </is>
      </c>
      <c r="E4" s="31" t="inlineStr">
        <is>
          <t>Done</t>
        </is>
      </c>
      <c r="F4" s="31" t="inlineStr">
        <is>
          <t>In Progress</t>
        </is>
      </c>
      <c r="G4" s="31" t="inlineStr">
        <is>
          <t>Blocked</t>
        </is>
      </c>
      <c r="H4" s="31" t="inlineStr">
        <is>
          <t>% Complete</t>
        </is>
      </c>
    </row>
    <row r="5" ht="22" customHeight="1">
      <c r="B5" s="36" t="inlineStr">
        <is>
          <t>Ananya</t>
        </is>
      </c>
      <c r="C5" s="36" t="inlineStr">
        <is>
          <t>Sales</t>
        </is>
      </c>
      <c r="D5" s="37">
        <f>COUNTIF('Sprint Backlog'!$C$7:$C$63,B5)</f>
        <v/>
      </c>
      <c r="E5" s="37">
        <f>COUNTIFS('Sprint Backlog'!$C$7:$C$63,B5,'Sprint Backlog'!$I$7:$I$63,"Done")</f>
        <v/>
      </c>
      <c r="F5" s="37">
        <f>COUNTIFS('Sprint Backlog'!$C$7:$C$63,B5,'Sprint Backlog'!$I$7:$I$63,"In Progress")</f>
        <v/>
      </c>
      <c r="G5" s="37">
        <f>COUNTIFS('Sprint Backlog'!$C$7:$C$63,B5,'Sprint Backlog'!$I$7:$I$63,"Blocked")</f>
        <v/>
      </c>
      <c r="H5" s="38">
        <f>IF(D5=0,0,E5/D5)</f>
        <v/>
      </c>
    </row>
    <row r="6" ht="22" customHeight="1">
      <c r="B6" s="39" t="inlineStr">
        <is>
          <t>Mohit</t>
        </is>
      </c>
      <c r="C6" s="39" t="inlineStr">
        <is>
          <t>TA</t>
        </is>
      </c>
      <c r="D6" s="40">
        <f>COUNTIF('Sprint Backlog'!$C$7:$C$63,B6)</f>
        <v/>
      </c>
      <c r="E6" s="40">
        <f>COUNTIFS('Sprint Backlog'!$C$7:$C$63,B6,'Sprint Backlog'!$I$7:$I$63,"Done")</f>
        <v/>
      </c>
      <c r="F6" s="40">
        <f>COUNTIFS('Sprint Backlog'!$C$7:$C$63,B6,'Sprint Backlog'!$I$7:$I$63,"In Progress")</f>
        <v/>
      </c>
      <c r="G6" s="40">
        <f>COUNTIFS('Sprint Backlog'!$C$7:$C$63,B6,'Sprint Backlog'!$I$7:$I$63,"Blocked")</f>
        <v/>
      </c>
      <c r="H6" s="41">
        <f>IF(D6=0,0,E6/D6)</f>
        <v/>
      </c>
    </row>
    <row r="7" ht="22" customHeight="1">
      <c r="B7" s="36" t="inlineStr">
        <is>
          <t>Rohit</t>
        </is>
      </c>
      <c r="C7" s="36" t="inlineStr">
        <is>
          <t>TA</t>
        </is>
      </c>
      <c r="D7" s="37">
        <f>COUNTIF('Sprint Backlog'!$C$7:$C$63,B7)</f>
        <v/>
      </c>
      <c r="E7" s="37">
        <f>COUNTIFS('Sprint Backlog'!$C$7:$C$63,B7,'Sprint Backlog'!$I$7:$I$63,"Done")</f>
        <v/>
      </c>
      <c r="F7" s="37">
        <f>COUNTIFS('Sprint Backlog'!$C$7:$C$63,B7,'Sprint Backlog'!$I$7:$I$63,"In Progress")</f>
        <v/>
      </c>
      <c r="G7" s="37">
        <f>COUNTIFS('Sprint Backlog'!$C$7:$C$63,B7,'Sprint Backlog'!$I$7:$I$63,"Blocked")</f>
        <v/>
      </c>
      <c r="H7" s="38">
        <f>IF(D7=0,0,E7/D7)</f>
        <v/>
      </c>
    </row>
    <row r="8" ht="22" customHeight="1">
      <c r="B8" s="39" t="inlineStr">
        <is>
          <t>Shalu</t>
        </is>
      </c>
      <c r="C8" s="39" t="inlineStr">
        <is>
          <t>HR</t>
        </is>
      </c>
      <c r="D8" s="40">
        <f>COUNTIF('Sprint Backlog'!$C$7:$C$63,B8)</f>
        <v/>
      </c>
      <c r="E8" s="40">
        <f>COUNTIFS('Sprint Backlog'!$C$7:$C$63,B8,'Sprint Backlog'!$I$7:$I$63,"Done")</f>
        <v/>
      </c>
      <c r="F8" s="40">
        <f>COUNTIFS('Sprint Backlog'!$C$7:$C$63,B8,'Sprint Backlog'!$I$7:$I$63,"In Progress")</f>
        <v/>
      </c>
      <c r="G8" s="40">
        <f>COUNTIFS('Sprint Backlog'!$C$7:$C$63,B8,'Sprint Backlog'!$I$7:$I$63,"Blocked")</f>
        <v/>
      </c>
      <c r="H8" s="41">
        <f>IF(D8=0,0,E8/D8)</f>
        <v/>
      </c>
    </row>
    <row r="9" ht="22" customHeight="1">
      <c r="B9" s="36" t="inlineStr">
        <is>
          <t>Harsh</t>
        </is>
      </c>
      <c r="C9" s="36" t="inlineStr">
        <is>
          <t>Admin / HR</t>
        </is>
      </c>
      <c r="D9" s="37">
        <f>COUNTIF('Sprint Backlog'!$C$7:$C$63,B9)</f>
        <v/>
      </c>
      <c r="E9" s="37">
        <f>COUNTIFS('Sprint Backlog'!$C$7:$C$63,B9,'Sprint Backlog'!$I$7:$I$63,"Done")</f>
        <v/>
      </c>
      <c r="F9" s="37">
        <f>COUNTIFS('Sprint Backlog'!$C$7:$C$63,B9,'Sprint Backlog'!$I$7:$I$63,"In Progress")</f>
        <v/>
      </c>
      <c r="G9" s="37">
        <f>COUNTIFS('Sprint Backlog'!$C$7:$C$63,B9,'Sprint Backlog'!$I$7:$I$63,"Blocked")</f>
        <v/>
      </c>
      <c r="H9" s="38">
        <f>IF(D9=0,0,E9/D9)</f>
        <v/>
      </c>
    </row>
    <row r="10" ht="22" customHeight="1">
      <c r="B10" s="39" t="inlineStr">
        <is>
          <t>Saleena</t>
        </is>
      </c>
      <c r="C10" s="39" t="inlineStr">
        <is>
          <t>Dashboard</t>
        </is>
      </c>
      <c r="D10" s="40">
        <f>COUNTIF('Sprint Backlog'!$C$7:$C$63,B10)</f>
        <v/>
      </c>
      <c r="E10" s="40">
        <f>COUNTIFS('Sprint Backlog'!$C$7:$C$63,B10,'Sprint Backlog'!$I$7:$I$63,"Done")</f>
        <v/>
      </c>
      <c r="F10" s="40">
        <f>COUNTIFS('Sprint Backlog'!$C$7:$C$63,B10,'Sprint Backlog'!$I$7:$I$63,"In Progress")</f>
        <v/>
      </c>
      <c r="G10" s="40">
        <f>COUNTIFS('Sprint Backlog'!$C$7:$C$63,B10,'Sprint Backlog'!$I$7:$I$63,"Blocked")</f>
        <v/>
      </c>
      <c r="H10" s="41">
        <f>IF(D10=0,0,E10/D10)</f>
        <v/>
      </c>
    </row>
    <row r="11" ht="22" customHeight="1">
      <c r="B11" s="36" t="inlineStr">
        <is>
          <t>Akash</t>
        </is>
      </c>
      <c r="C11" s="36" t="inlineStr">
        <is>
          <t>Dashboard / Review</t>
        </is>
      </c>
      <c r="D11" s="37">
        <f>COUNTIF('Sprint Backlog'!$C$7:$C$63,B11)</f>
        <v/>
      </c>
      <c r="E11" s="37">
        <f>COUNTIFS('Sprint Backlog'!$C$7:$C$63,B11,'Sprint Backlog'!$I$7:$I$63,"Done")</f>
        <v/>
      </c>
      <c r="F11" s="37">
        <f>COUNTIFS('Sprint Backlog'!$C$7:$C$63,B11,'Sprint Backlog'!$I$7:$I$63,"In Progress")</f>
        <v/>
      </c>
      <c r="G11" s="37">
        <f>COUNTIFS('Sprint Backlog'!$C$7:$C$63,B11,'Sprint Backlog'!$I$7:$I$63,"Blocked")</f>
        <v/>
      </c>
      <c r="H11" s="38">
        <f>IF(D11=0,0,E11/D11)</f>
        <v/>
      </c>
    </row>
    <row r="12" ht="22" customHeight="1">
      <c r="B12" s="39" t="inlineStr">
        <is>
          <t>Gaurav</t>
        </is>
      </c>
      <c r="C12" s="39" t="inlineStr">
        <is>
          <t>Review</t>
        </is>
      </c>
      <c r="D12" s="40">
        <f>COUNTIF('Sprint Backlog'!$C$7:$C$63,B12)</f>
        <v/>
      </c>
      <c r="E12" s="40">
        <f>COUNTIFS('Sprint Backlog'!$C$7:$C$63,B12,'Sprint Backlog'!$I$7:$I$63,"Done")</f>
        <v/>
      </c>
      <c r="F12" s="40">
        <f>COUNTIFS('Sprint Backlog'!$C$7:$C$63,B12,'Sprint Backlog'!$I$7:$I$63,"In Progress")</f>
        <v/>
      </c>
      <c r="G12" s="40">
        <f>COUNTIFS('Sprint Backlog'!$C$7:$C$63,B12,'Sprint Backlog'!$I$7:$I$63,"Blocked")</f>
        <v/>
      </c>
      <c r="H12" s="41">
        <f>IF(D12=0,0,E12/D12)</f>
        <v/>
      </c>
    </row>
    <row r="14">
      <c r="B14" s="42" t="inlineStr">
        <is>
          <t>Note: Shared owners (e.g. Saleena &amp; Akash) are counted on those exact Owner cell values in Sprint Backlog.</t>
        </is>
      </c>
    </row>
  </sheetData>
  <mergeCells count="2">
    <mergeCell ref="B14:H14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55" customWidth="1" min="3" max="3"/>
    <col width="16" customWidth="1" min="4" max="4"/>
    <col width="18" customWidth="1" min="5" max="5"/>
    <col width="12" customWidth="1" min="6" max="6"/>
    <col width="28" customWidth="1" min="7" max="7"/>
  </cols>
  <sheetData>
    <row r="2" ht="28" customHeight="1">
      <c r="B2" s="30" t="inlineStr">
        <is>
          <t>Handoff Contracts</t>
        </is>
      </c>
    </row>
    <row r="4">
      <c r="B4" s="31" t="inlineStr">
        <is>
          <t>From → To</t>
        </is>
      </c>
      <c r="C4" s="31" t="inlineStr">
        <is>
          <t>Done When (Contract)</t>
        </is>
      </c>
      <c r="D4" s="31" t="inlineStr">
        <is>
          <t>From Owner</t>
        </is>
      </c>
      <c r="E4" s="31" t="inlineStr">
        <is>
          <t>To Owner</t>
        </is>
      </c>
      <c r="F4" s="31" t="inlineStr">
        <is>
          <t>Status</t>
        </is>
      </c>
      <c r="G4" s="31" t="inlineStr">
        <is>
          <t>Notes</t>
        </is>
      </c>
    </row>
    <row r="5" ht="36" customHeight="1">
      <c r="B5" s="13" t="inlineStr">
        <is>
          <t>Admin → All</t>
        </is>
      </c>
      <c r="C5" s="13" t="inlineStr">
        <is>
          <t>Login works; masters API returns seeded values</t>
        </is>
      </c>
      <c r="D5" s="13" t="inlineStr">
        <is>
          <t>Harsh</t>
        </is>
      </c>
      <c r="E5" s="13" t="inlineStr">
        <is>
          <t>All module owners</t>
        </is>
      </c>
      <c r="F5" s="13" t="inlineStr">
        <is>
          <t>Open</t>
        </is>
      </c>
      <c r="G5" s="13" t="inlineStr"/>
    </row>
    <row r="6" ht="36" customHeight="1">
      <c r="B6" s="14" t="inlineStr">
        <is>
          <t>Sales → TA</t>
        </is>
      </c>
      <c r="C6" s="14" t="inlineStr">
        <is>
          <t>Requirement exists with REQ-#####, Active, TA assigned</t>
        </is>
      </c>
      <c r="D6" s="14" t="inlineStr">
        <is>
          <t>Ananya</t>
        </is>
      </c>
      <c r="E6" s="14" t="inlineStr">
        <is>
          <t>Mohit &amp; Rohit</t>
        </is>
      </c>
      <c r="F6" s="14" t="inlineStr">
        <is>
          <t>Open</t>
        </is>
      </c>
      <c r="G6" s="14" t="inlineStr"/>
    </row>
    <row r="7" ht="36" customHeight="1">
      <c r="B7" s="13" t="inlineStr">
        <is>
          <t>TA → HR</t>
        </is>
      </c>
      <c r="C7" s="13" t="inlineStr">
        <is>
          <t>Candidate Selected; Offer Accepted</t>
        </is>
      </c>
      <c r="D7" s="13" t="inlineStr">
        <is>
          <t>Rohit</t>
        </is>
      </c>
      <c r="E7" s="13" t="inlineStr">
        <is>
          <t>Shalu</t>
        </is>
      </c>
      <c r="F7" s="13" t="inlineStr">
        <is>
          <t>Open</t>
        </is>
      </c>
      <c r="G7" s="13" t="inlineStr"/>
    </row>
    <row r="8" ht="36" customHeight="1">
      <c r="B8" s="14" t="inlineStr">
        <is>
          <t>HR → Dashboard</t>
        </is>
      </c>
      <c r="C8" s="14" t="inlineStr">
        <is>
          <t>Status Joined with actual DOJ; closed positions updated</t>
        </is>
      </c>
      <c r="D8" s="14" t="inlineStr">
        <is>
          <t>Shalu</t>
        </is>
      </c>
      <c r="E8" s="14" t="inlineStr">
        <is>
          <t>Saleena &amp; Akash</t>
        </is>
      </c>
      <c r="F8" s="14" t="inlineStr">
        <is>
          <t>Open</t>
        </is>
      </c>
      <c r="G8" s="14" t="inlineStr"/>
    </row>
    <row r="9" ht="36" customHeight="1">
      <c r="B9" s="13" t="inlineStr">
        <is>
          <t>All → Review</t>
        </is>
      </c>
      <c r="C9" s="13" t="inlineStr">
        <is>
          <t>PR linked to Step ID + short test notes</t>
        </is>
      </c>
      <c r="D9" s="13" t="inlineStr">
        <is>
          <t>All owners</t>
        </is>
      </c>
      <c r="E9" s="13" t="inlineStr">
        <is>
          <t>Akash &amp; Gaurav</t>
        </is>
      </c>
      <c r="F9" s="13" t="inlineStr">
        <is>
          <t>Open</t>
        </is>
      </c>
      <c r="G9" s="13" t="inlineStr"/>
    </row>
  </sheetData>
  <mergeCells count="1">
    <mergeCell ref="B2:G2"/>
  </mergeCells>
  <conditionalFormatting sqref="F5:F9">
    <cfRule type="expression" priority="1" dxfId="0">
      <formula>$F5="Met"</formula>
    </cfRule>
    <cfRule type="expression" priority="2" dxfId="2">
      <formula>$F5="Blocked"</formula>
    </cfRule>
    <cfRule type="expression" priority="3" dxfId="1">
      <formula>$F5="In Progress"</formula>
    </cfRule>
    <cfRule type="expression" priority="4" dxfId="4">
      <formula>$F5="Open"</formula>
    </cfRule>
  </conditionalFormatting>
  <dataValidations count="1">
    <dataValidation sqref="F5:F9" showDropDown="0" showInputMessage="0" showErrorMessage="0" allowBlank="1" type="list">
      <formula1>"Open,In Progress,Met,Blocked"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55" customWidth="1" min="3" max="3"/>
    <col width="14" customWidth="1" min="4" max="4"/>
    <col width="40" customWidth="1" min="5" max="5"/>
  </cols>
  <sheetData>
    <row r="2" ht="28" customHeight="1">
      <c r="B2" s="43" t="inlineStr">
        <is>
          <t>Manager Showcase Checklist (use every sprint review ~10 min)</t>
        </is>
      </c>
    </row>
    <row r="4">
      <c r="B4" s="20" t="inlineStr">
        <is>
          <t>#</t>
        </is>
      </c>
      <c r="C4" s="20" t="inlineStr">
        <is>
          <t>Agenda Item</t>
        </is>
      </c>
      <c r="D4" s="20" t="inlineStr">
        <is>
          <t>Time</t>
        </is>
      </c>
      <c r="E4" s="20" t="inlineStr">
        <is>
          <t>Where in this workbook</t>
        </is>
      </c>
    </row>
    <row r="5" ht="24" customHeight="1">
      <c r="B5" s="13" t="inlineStr">
        <is>
          <t>1</t>
        </is>
      </c>
      <c r="C5" s="13" t="inlineStr">
        <is>
          <t>Who owns what — ownership table</t>
        </is>
      </c>
      <c r="D5" s="13" t="inlineStr">
        <is>
          <t>2 min</t>
        </is>
      </c>
      <c r="E5" s="13" t="inlineStr">
        <is>
          <t>Show Ownership sheet</t>
        </is>
      </c>
    </row>
    <row r="6" ht="24" customHeight="1">
      <c r="B6" s="14" t="inlineStr">
        <is>
          <t>2</t>
        </is>
      </c>
      <c r="C6" s="14" t="inlineStr">
        <is>
          <t>Steps completed — checkboxes by Step ID</t>
        </is>
      </c>
      <c r="D6" s="14" t="inlineStr">
        <is>
          <t>2 min</t>
        </is>
      </c>
      <c r="E6" s="14" t="inlineStr">
        <is>
          <t>Filter Sprint Backlog by current sprint + Done</t>
        </is>
      </c>
    </row>
    <row r="7" ht="24" customHeight="1">
      <c r="B7" s="13" t="inlineStr">
        <is>
          <t>3</t>
        </is>
      </c>
      <c r="C7" s="13" t="inlineStr">
        <is>
          <t>Live demo — one vertical slice only</t>
        </is>
      </c>
      <c r="D7" s="13" t="inlineStr">
        <is>
          <t>4 min</t>
        </is>
      </c>
      <c r="E7" s="13" t="inlineStr">
        <is>
          <t>See Sprint Boards → Manager Demo column</t>
        </is>
      </c>
    </row>
    <row r="8" ht="24" customHeight="1">
      <c r="B8" s="14" t="inlineStr">
        <is>
          <t>4</t>
        </is>
      </c>
      <c r="C8" s="14" t="inlineStr">
        <is>
          <t>What's next / dependencies</t>
        </is>
      </c>
      <c r="D8" s="14" t="inlineStr">
        <is>
          <t>1 min</t>
        </is>
      </c>
      <c r="E8" s="14" t="inlineStr">
        <is>
          <t>Handoffs sheet + next sprint focus</t>
        </is>
      </c>
    </row>
    <row r="9" ht="24" customHeight="1">
      <c r="B9" s="13" t="inlineStr">
        <is>
          <t>5</t>
        </is>
      </c>
      <c r="C9" s="13" t="inlineStr">
        <is>
          <t>Risks — blockers Review found</t>
        </is>
      </c>
      <c r="D9" s="13" t="inlineStr">
        <is>
          <t>1 min</t>
        </is>
      </c>
      <c r="E9" s="13" t="inlineStr">
        <is>
          <t>Filter Status = Blocked on Sprint Backlog</t>
        </is>
      </c>
    </row>
    <row r="11">
      <c r="B11" s="19" t="inlineStr">
        <is>
          <t>Per-sprint demo lines (copy into slides)</t>
        </is>
      </c>
    </row>
    <row r="12">
      <c r="B12" s="20" t="inlineStr">
        <is>
          <t>Sprint</t>
        </is>
      </c>
      <c r="C12" s="20" t="inlineStr">
        <is>
          <t>Theme</t>
        </is>
      </c>
      <c r="D12" s="20" t="inlineStr">
        <is>
          <t>Demo Line</t>
        </is>
      </c>
    </row>
    <row r="13" ht="28" customHeight="1">
      <c r="B13" s="13" t="inlineStr">
        <is>
          <t>S1</t>
        </is>
      </c>
      <c r="C13" s="13" t="inlineStr">
        <is>
          <t>Foundations</t>
        </is>
      </c>
      <c r="D13" s="13" t="inlineStr">
        <is>
          <t>Login → create requirement</t>
        </is>
      </c>
    </row>
    <row r="14" ht="28" customHeight="1">
      <c r="B14" s="14" t="inlineStr">
        <is>
          <t>S2</t>
        </is>
      </c>
      <c r="C14" s="14" t="inlineStr">
        <is>
          <t>Sales + Admin usable</t>
        </is>
      </c>
      <c r="D14" s="14" t="inlineStr">
        <is>
          <t>Create user → client → req → assign TA</t>
        </is>
      </c>
    </row>
    <row r="15" ht="28" customHeight="1">
      <c r="B15" s="13" t="inlineStr">
        <is>
          <t>S3</t>
        </is>
      </c>
      <c r="C15" s="13" t="inlineStr">
        <is>
          <t>TA pipeline starts</t>
        </is>
      </c>
      <c r="D15" s="13" t="inlineStr">
        <is>
          <t>One req with 2–3 candidates moving stages</t>
        </is>
      </c>
    </row>
    <row r="16" ht="28" customHeight="1">
      <c r="B16" s="14" t="inlineStr">
        <is>
          <t>S4</t>
        </is>
      </c>
      <c r="C16" s="14" t="inlineStr">
        <is>
          <t>Selection quality</t>
        </is>
      </c>
      <c r="D16" s="14" t="inlineStr">
        <is>
          <t>Duplicate warning + select a candidate</t>
        </is>
      </c>
    </row>
    <row r="17" ht="28" customHeight="1">
      <c r="B17" s="13" t="inlineStr">
        <is>
          <t>S5</t>
        </is>
      </c>
      <c r="C17" s="13" t="inlineStr">
        <is>
          <t>Offers</t>
        </is>
      </c>
      <c r="D17" s="13" t="inlineStr">
        <is>
          <t>Selected → offer released → accepted</t>
        </is>
      </c>
    </row>
    <row r="18" ht="28" customHeight="1">
      <c r="B18" s="14" t="inlineStr">
        <is>
          <t>S6</t>
        </is>
      </c>
      <c r="C18" s="14" t="inlineStr">
        <is>
          <t>HR join path</t>
        </is>
      </c>
      <c r="D18" s="14" t="inlineStr">
        <is>
          <t>Accepted offer → Joined; positions closed</t>
        </is>
      </c>
    </row>
    <row r="19" ht="28" customHeight="1">
      <c r="B19" s="13" t="inlineStr">
        <is>
          <t>S7</t>
        </is>
      </c>
      <c r="C19" s="13" t="inlineStr">
        <is>
          <t>Dashboard parity</t>
        </is>
      </c>
      <c r="D19" s="13" t="inlineStr">
        <is>
          <t>Filter dashboard; RED escalations; CSV import</t>
        </is>
      </c>
    </row>
    <row r="20" ht="28" customHeight="1">
      <c r="B20" s="14" t="inlineStr">
        <is>
          <t>S8</t>
        </is>
      </c>
      <c r="C20" s="14" t="inlineStr">
        <is>
          <t>Hardening &amp; showcase</t>
        </is>
      </c>
      <c r="D20" s="14" t="inlineStr">
        <is>
          <t>E2E: Sales → TA → Offer → HR → Dashboard</t>
        </is>
      </c>
    </row>
    <row r="22">
      <c r="B22" s="42" t="inlineStr">
        <is>
          <t>References: docs/12-planning/TEAM_SPRINT_PLAN.md · EPICS_AND_STORIES.md · SPRINT_AND_MILESTONES.md</t>
        </is>
      </c>
    </row>
  </sheetData>
  <mergeCells count="3">
    <mergeCell ref="B11:E11"/>
    <mergeCell ref="B22:E22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Ananya</t>
        </is>
      </c>
      <c r="C1" t="inlineStr">
        <is>
          <t>Sales</t>
        </is>
      </c>
    </row>
    <row r="2">
      <c r="A2" t="inlineStr">
        <is>
          <t>In Progress</t>
        </is>
      </c>
      <c r="B2" t="inlineStr">
        <is>
          <t>Mohit</t>
        </is>
      </c>
      <c r="C2" t="inlineStr">
        <is>
          <t>TA</t>
        </is>
      </c>
    </row>
    <row r="3">
      <c r="A3" t="inlineStr">
        <is>
          <t>Blocked</t>
        </is>
      </c>
      <c r="B3" t="inlineStr">
        <is>
          <t>Rohit</t>
        </is>
      </c>
      <c r="C3" t="inlineStr">
        <is>
          <t>HR</t>
        </is>
      </c>
    </row>
    <row r="4">
      <c r="A4" t="inlineStr">
        <is>
          <t>In Review</t>
        </is>
      </c>
      <c r="B4" t="inlineStr">
        <is>
          <t>Shalu</t>
        </is>
      </c>
      <c r="C4" t="inlineStr">
        <is>
          <t>Admin</t>
        </is>
      </c>
    </row>
    <row r="5">
      <c r="A5" t="inlineStr">
        <is>
          <t>Done</t>
        </is>
      </c>
      <c r="B5" t="inlineStr">
        <is>
          <t>Harsh</t>
        </is>
      </c>
      <c r="C5" t="inlineStr">
        <is>
          <t>Dashboard</t>
        </is>
      </c>
    </row>
    <row r="6">
      <c r="B6" t="inlineStr">
        <is>
          <t>Saleena</t>
        </is>
      </c>
      <c r="C6" t="inlineStr">
        <is>
          <t>Review</t>
        </is>
      </c>
    </row>
    <row r="7">
      <c r="B7" t="inlineStr">
        <is>
          <t>Akash</t>
        </is>
      </c>
      <c r="C7" t="inlineStr">
        <is>
          <t>All</t>
        </is>
      </c>
    </row>
    <row r="8">
      <c r="B8" t="inlineStr">
        <is>
          <t>Gaurav</t>
        </is>
      </c>
    </row>
    <row r="9">
      <c r="B9" t="inlineStr">
        <is>
          <t>Saleena &amp; Akash</t>
        </is>
      </c>
    </row>
    <row r="10">
      <c r="B10" t="inlineStr">
        <is>
          <t>Akash &amp; Gaurav</t>
        </is>
      </c>
    </row>
    <row r="11">
      <c r="B11" t="inlineStr">
        <is>
          <t>Mohit &amp; Rohit</t>
        </is>
      </c>
    </row>
    <row r="12">
      <c r="B12" t="inlineStr">
        <is>
          <t>All owners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2026-07-16T05:29:42Z</dcterms:created>
  <dcterms:modified xsi:type="dcterms:W3CDTF">2026-07-16T05:29:43Z</dcterms:modified>
</cp:coreProperties>
</file>